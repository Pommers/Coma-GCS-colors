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/PycharmProjects/Coma_LSD_CSS/"/>
    </mc:Choice>
  </mc:AlternateContent>
  <xr:revisionPtr revIDLastSave="0" documentId="13_ncr:1_{42F813FC-EAB0-0840-B778-FE7228D21C79}" xr6:coauthVersionLast="47" xr6:coauthVersionMax="47" xr10:uidLastSave="{00000000-0000-0000-0000-000000000000}"/>
  <bookViews>
    <workbookView xWindow="3900" yWindow="2200" windowWidth="28040" windowHeight="17440" activeTab="2" xr2:uid="{759EC897-7703-B849-85FC-81E9F57FAC52}"/>
  </bookViews>
  <sheets>
    <sheet name="Sheet1" sheetId="1" r:id="rId1"/>
    <sheet name="Sheet3" sheetId="4" r:id="rId2"/>
    <sheet name="Sheet2" sheetId="2" r:id="rId3"/>
    <sheet name="Chart1" sheetId="3" r:id="rId4"/>
  </sheets>
  <definedNames>
    <definedName name="_xlnm._FilterDatabase" localSheetId="2" hidden="1">Sheet2!$A$1:$AE$113</definedName>
    <definedName name="_xlnm._FilterDatabase" localSheetId="1" hidden="1">Sheet3!$A$1:$T$88</definedName>
    <definedName name="gals_data_cleaned" localSheetId="2">Sheet2!$A$1:$AE$113</definedName>
    <definedName name="HST_2025_09_01T10_32_18_05_00" localSheetId="1">Sheet3!$A$77:$T$88</definedName>
    <definedName name="HST_2025_09_01T10_32_41_05_00" localSheetId="1">Sheet3!$A$72:$T$76</definedName>
    <definedName name="HST_2025_09_01T10_33_12_05_00" localSheetId="1">Sheet3!$A$1:$T$71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8" i="1" s="1"/>
  <c r="B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32423-88F9-CE43-9998-36F10331B15D}" name="gals_data_cleaned" type="6" refreshedVersion="8" background="1" saveData="1">
    <textPr sourceFile="/Users/richard/PycharmProjects/Coma_LSD_CSS/data/gals_data_cleaned.csv" comma="1">
      <textFields count="31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928C0EB-CE57-4D4D-BE32-10E3028608A4}" name="HST_2025-09-01T10_32_18-05_00" type="6" refreshedVersion="8" background="1" saveData="1">
    <textPr sourceFile="/Users/richard/Downloads/HST_2025-09-01T10_32_18-05_00.csv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1974B89-2AAD-FE47-9684-5CC7625A96EF}" name="HST_2025-09-01T10_32_41-05_00" type="6" refreshedVersion="8" background="1" saveData="1">
    <textPr sourceFile="/Users/richard/Downloads/HST_2025-09-01T10_32_41-05_00.csv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D2E74F00-7AF6-A14F-852B-66812C00FD4F}" name="HST_2025-09-01T10_33_12-05_00" type="6" refreshedVersion="8" background="1" saveData="1">
    <textPr sourceFile="/Users/richard/Downloads/HST_2025-09-01T10_33_12-05_00.csv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<sst xmlns="http://schemas.openxmlformats.org/spreadsheetml/2006/main" count="1204" uniqueCount="584">
  <si>
    <t>x</t>
  </si>
  <si>
    <t>y1</t>
  </si>
  <si>
    <t>y2</t>
  </si>
  <si>
    <t>name</t>
  </si>
  <si>
    <t>mv</t>
  </si>
  <si>
    <t>Re_arcsec</t>
  </si>
  <si>
    <t>show_label</t>
  </si>
  <si>
    <t>velocity</t>
  </si>
  <si>
    <t>z</t>
  </si>
  <si>
    <t>Dist_Mpc</t>
  </si>
  <si>
    <t>Sigma_GC</t>
  </si>
  <si>
    <t>MV</t>
  </si>
  <si>
    <t>Sn</t>
  </si>
  <si>
    <t>Ncss</t>
  </si>
  <si>
    <t>N_GC_Obs_8Re</t>
  </si>
  <si>
    <t>gcs_uncert</t>
  </si>
  <si>
    <t>N_UCD_Obs_8Re</t>
  </si>
  <si>
    <t>ucd_uncert</t>
  </si>
  <si>
    <t>N_CSS_Obs_8Re</t>
  </si>
  <si>
    <t>CSS_uncert</t>
  </si>
  <si>
    <t>Frac</t>
  </si>
  <si>
    <t>Label1</t>
  </si>
  <si>
    <t>Label2</t>
  </si>
  <si>
    <t>Sn_obs</t>
  </si>
  <si>
    <t>Sn_obs_uncert</t>
  </si>
  <si>
    <t>Sn_obs_adj</t>
  </si>
  <si>
    <t>Sn_obs_uncert_adj</t>
  </si>
  <si>
    <t>ra</t>
  </si>
  <si>
    <t>dec</t>
  </si>
  <si>
    <t>Source Archive</t>
  </si>
  <si>
    <t>V (mag)</t>
  </si>
  <si>
    <t>MajAxis (arcmin)</t>
  </si>
  <si>
    <t>MinAxis (arcmin)</t>
  </si>
  <si>
    <t>PA (deg)</t>
  </si>
  <si>
    <t>2MASS J13001763+2759145</t>
  </si>
  <si>
    <t>Simbad</t>
  </si>
  <si>
    <t>2MASX J12592136+2758248</t>
  </si>
  <si>
    <t>2MASX J12592265+2753488</t>
  </si>
  <si>
    <t>2MASX J12592536+2756038</t>
  </si>
  <si>
    <t>2MASX J12595013+2755292</t>
  </si>
  <si>
    <t>2MASX J12595670+2755483</t>
  </si>
  <si>
    <t>2MASX J13001036+2757332</t>
  </si>
  <si>
    <t>2MASX J13001702+2803502</t>
  </si>
  <si>
    <t>2MASX J13004111+2753416</t>
  </si>
  <si>
    <t>2MASX J13005468+2759512</t>
  </si>
  <si>
    <t>CAIRNS J125935.95+275421.4</t>
  </si>
  <si>
    <t>CAIRNS J130005.15+275835.8</t>
  </si>
  <si>
    <t>CAIRNS J130044.57+275633.3</t>
  </si>
  <si>
    <t>ECO 11254</t>
  </si>
  <si>
    <t>GMP 2297</t>
  </si>
  <si>
    <t>GMP 2311</t>
  </si>
  <si>
    <t>GMP 2399</t>
  </si>
  <si>
    <t>IC 3968</t>
  </si>
  <si>
    <t>IC 3973</t>
  </si>
  <si>
    <t>IC 3973, 40</t>
  </si>
  <si>
    <t>IC 3976</t>
  </si>
  <si>
    <t>IC 3976, 48</t>
  </si>
  <si>
    <t>IC 3998</t>
  </si>
  <si>
    <t>IC 3998, 633</t>
  </si>
  <si>
    <t>IC 4011</t>
  </si>
  <si>
    <t>IC 4011, 346</t>
  </si>
  <si>
    <t>IC 4012</t>
  </si>
  <si>
    <t>IC 4012, 15</t>
  </si>
  <si>
    <t>IC 4021</t>
  </si>
  <si>
    <t>IC 4021, 58</t>
  </si>
  <si>
    <t>IC 4026</t>
  </si>
  <si>
    <t>IC 4026, 107</t>
  </si>
  <si>
    <t>IC 4030</t>
  </si>
  <si>
    <t>IC 4030, 28</t>
  </si>
  <si>
    <t>IC 4033</t>
  </si>
  <si>
    <t>IC 4033, 86</t>
  </si>
  <si>
    <t>IC 4040</t>
  </si>
  <si>
    <t>IC 4040, 0</t>
  </si>
  <si>
    <t>IC 4041</t>
  </si>
  <si>
    <t>IC 4041, 124</t>
  </si>
  <si>
    <t>IC 4042</t>
  </si>
  <si>
    <t>IC 4045</t>
  </si>
  <si>
    <t>IC 4045, 126</t>
  </si>
  <si>
    <t>IC 4051</t>
  </si>
  <si>
    <t>IC 4051, 1346</t>
  </si>
  <si>
    <t>LEDA 126749</t>
  </si>
  <si>
    <t>LEDA 126754</t>
  </si>
  <si>
    <t>LEDA 126756</t>
  </si>
  <si>
    <t>LEDA 126758</t>
  </si>
  <si>
    <t>LEDA 126759</t>
  </si>
  <si>
    <t>LEDA 126761</t>
  </si>
  <si>
    <t>LEDA 126763</t>
  </si>
  <si>
    <t>LEDA 126764</t>
  </si>
  <si>
    <t>LEDA 126768</t>
  </si>
  <si>
    <t>LEDA 126771</t>
  </si>
  <si>
    <t>LEDA 126781</t>
  </si>
  <si>
    <t>LEDA 126785</t>
  </si>
  <si>
    <t>LEDA 126788</t>
  </si>
  <si>
    <t>LEDA 126792</t>
  </si>
  <si>
    <t>LEDA 1821341</t>
  </si>
  <si>
    <t>LEDA 1821555</t>
  </si>
  <si>
    <t>LEDA 1821892</t>
  </si>
  <si>
    <t>LEDA 1821898</t>
  </si>
  <si>
    <t>LEDA 1822111</t>
  </si>
  <si>
    <t>LEDA 3098454</t>
  </si>
  <si>
    <t>LEDA 44594</t>
  </si>
  <si>
    <t>LEDA 44635</t>
  </si>
  <si>
    <t>LEDA 44636</t>
  </si>
  <si>
    <t>LEDA 44644</t>
  </si>
  <si>
    <t>LEDA 44651</t>
  </si>
  <si>
    <t>LEDA 44652</t>
  </si>
  <si>
    <t>LEDA 44656</t>
  </si>
  <si>
    <t>LEDA 44692</t>
  </si>
  <si>
    <t>LEDA 44693</t>
  </si>
  <si>
    <t>LEDA 44707</t>
  </si>
  <si>
    <t>LEDA 44708</t>
  </si>
  <si>
    <t>LEDA 44723</t>
  </si>
  <si>
    <t>LEDA 44792</t>
  </si>
  <si>
    <t>LEDA 44809</t>
  </si>
  <si>
    <t>LEDA 44815</t>
  </si>
  <si>
    <t>LEDA 44863</t>
  </si>
  <si>
    <t>LEDA 93586</t>
  </si>
  <si>
    <t>NGC 4867</t>
  </si>
  <si>
    <t>NGC 4867, 86</t>
  </si>
  <si>
    <t>NGC 4869</t>
  </si>
  <si>
    <t>NGC 4869, 280</t>
  </si>
  <si>
    <t>NGC 4871</t>
  </si>
  <si>
    <t>NGC 4871, 1045</t>
  </si>
  <si>
    <t>NGC 4872</t>
  </si>
  <si>
    <t>NGC 4872, 178</t>
  </si>
  <si>
    <t>NGC 4873</t>
  </si>
  <si>
    <t>NGC 4873, 1478</t>
  </si>
  <si>
    <t>NGC 4874</t>
  </si>
  <si>
    <t>NGC 4874, 5775</t>
  </si>
  <si>
    <t>NGC 4875</t>
  </si>
  <si>
    <t>NGC 4875, 69</t>
  </si>
  <si>
    <t>NGC 4876</t>
  </si>
  <si>
    <t>NGC 4876, 75</t>
  </si>
  <si>
    <t>NGC 4882</t>
  </si>
  <si>
    <t>NGC 4882, 811</t>
  </si>
  <si>
    <t>NGC 4883</t>
  </si>
  <si>
    <t>NGC 4883, 49</t>
  </si>
  <si>
    <t>NGC 4889</t>
  </si>
  <si>
    <t>NGC 4889, 5334</t>
  </si>
  <si>
    <t>NGC 4894</t>
  </si>
  <si>
    <t>NGC 4894, 130</t>
  </si>
  <si>
    <t>NGC 4898</t>
  </si>
  <si>
    <t>NGC 4898, 109</t>
  </si>
  <si>
    <t>NGC 4906</t>
  </si>
  <si>
    <t>NGC 4906, 140</t>
  </si>
  <si>
    <t>NGC 4908</t>
  </si>
  <si>
    <t>NGC 4908, 346</t>
  </si>
  <si>
    <t>SDSS J125923.41+275510.4</t>
  </si>
  <si>
    <t>SDSS J125928.50+280109.3</t>
  </si>
  <si>
    <t>SDSS J125930.25+280115.0</t>
  </si>
  <si>
    <t>SDSS J125946.71+280000.4</t>
  </si>
  <si>
    <t>SDSS J125948.57+275857.7</t>
  </si>
  <si>
    <t>SDSS J130008.39+275716.7</t>
  </si>
  <si>
    <t>SDSS J130017.67+275718.9</t>
  </si>
  <si>
    <t>SDSS J130018.34+280333.4</t>
  </si>
  <si>
    <t>SDSS J130022.65+275754.8</t>
  </si>
  <si>
    <t>SDSS J130025.97+280344.6</t>
  </si>
  <si>
    <t>SDSS J130026.15+280032.0</t>
  </si>
  <si>
    <t>SDSS J130027.57+280323.9</t>
  </si>
  <si>
    <t>SDSS J130032.48+275833.2</t>
  </si>
  <si>
    <t>SDSS J130033.33+275849.3</t>
  </si>
  <si>
    <t>SDSS J130036.67+275427.4</t>
  </si>
  <si>
    <t>SDSS J130041.19+280242.4</t>
  </si>
  <si>
    <t>SDSS J130051.15+280249.7</t>
  </si>
  <si>
    <t>WISEA J125925.33+275804.6</t>
  </si>
  <si>
    <t>NED</t>
  </si>
  <si>
    <t>Z 160-233</t>
  </si>
  <si>
    <t>[ARF2020] COMA 22 0296</t>
  </si>
  <si>
    <t>[EDG2007] 320</t>
  </si>
  <si>
    <t>[EDG2007] 489</t>
  </si>
  <si>
    <t>sci_data_set_name</t>
  </si>
  <si>
    <t>sci_targname</t>
  </si>
  <si>
    <t>sci_hapnum</t>
  </si>
  <si>
    <t>sci_haspnum</t>
  </si>
  <si>
    <t>sci_instrume</t>
  </si>
  <si>
    <t>sci_aper_1234</t>
  </si>
  <si>
    <t>sci_spec_1234</t>
  </si>
  <si>
    <t>sci_actual_duration</t>
  </si>
  <si>
    <t>sci_start_time</t>
  </si>
  <si>
    <t>sci_pep_id</t>
  </si>
  <si>
    <t>sci_pi_last_name</t>
  </si>
  <si>
    <t>sci_ra</t>
  </si>
  <si>
    <t>sci_dec</t>
  </si>
  <si>
    <t>sci_refnum</t>
  </si>
  <si>
    <t>sci_central_wavelength</t>
  </si>
  <si>
    <t>sci_release_date</t>
  </si>
  <si>
    <t>sci_stop_time</t>
  </si>
  <si>
    <t>sci_preview_name</t>
  </si>
  <si>
    <t>scp_scan_type</t>
  </si>
  <si>
    <t>sci_hlsp</t>
  </si>
  <si>
    <t>J9TY55030</t>
  </si>
  <si>
    <t>COMA-OUTSKIRTS-13</t>
  </si>
  <si>
    <t xml:space="preserve">ACS   </t>
  </si>
  <si>
    <t>WFC</t>
  </si>
  <si>
    <t>CLEAR1L;F814W</t>
  </si>
  <si>
    <t>2006-12-10T11:48:53.280000</t>
  </si>
  <si>
    <t>CARTER</t>
  </si>
  <si>
    <t>2006-12-10T23:58:04</t>
  </si>
  <si>
    <t>2006-12-10T13:29:41.307000</t>
  </si>
  <si>
    <t>J9TY55040</t>
  </si>
  <si>
    <t>F475W;CLEAR2L</t>
  </si>
  <si>
    <t>2006-12-10T11:57:39.267000</t>
  </si>
  <si>
    <t>2006-12-11T06:50:25</t>
  </si>
  <si>
    <t>2006-12-10T13:43:42.297000</t>
  </si>
  <si>
    <t>J9TY90030</t>
  </si>
  <si>
    <t>2007-01-19T14:33:54.317000</t>
  </si>
  <si>
    <t>2007-01-20T00:19:03</t>
  </si>
  <si>
    <t>2007-01-19T17:32:41.347000</t>
  </si>
  <si>
    <t>J9TY90040</t>
  </si>
  <si>
    <t>2007-01-19T14:42:40.300000</t>
  </si>
  <si>
    <t>2007-01-20T01:16:32</t>
  </si>
  <si>
    <t>2007-01-19T17:47:49.347000</t>
  </si>
  <si>
    <t>J9TY59030</t>
  </si>
  <si>
    <t>COMA-OUTSKIRTS-17</t>
  </si>
  <si>
    <t>2007-01-16T19:08:38.317000</t>
  </si>
  <si>
    <t>2007-01-17T01:34:12</t>
  </si>
  <si>
    <t>2007-01-16T22:32:00.357000</t>
  </si>
  <si>
    <t>J9TY59040</t>
  </si>
  <si>
    <t>2007-01-16T19:17:24.300000</t>
  </si>
  <si>
    <t>2007-01-17T02:21:47</t>
  </si>
  <si>
    <t>2007-01-16T22:47:08.357000</t>
  </si>
  <si>
    <t>J9TY63030</t>
  </si>
  <si>
    <t>COMA-OUTSKIRTS-21</t>
  </si>
  <si>
    <t>2007-01-21T07:49:43.307000</t>
  </si>
  <si>
    <t>2007-01-21T15:15:10</t>
  </si>
  <si>
    <t>2007-01-21T11:06:04.357000</t>
  </si>
  <si>
    <t>J9TY63040</t>
  </si>
  <si>
    <t>2007-01-21T07:58:29.323000</t>
  </si>
  <si>
    <t>2007-01-21T16:07:03</t>
  </si>
  <si>
    <t>2007-01-21T11:21:12.357000</t>
  </si>
  <si>
    <t>J9TY45030</t>
  </si>
  <si>
    <t>COMA-OUTSKIRTS-3</t>
  </si>
  <si>
    <t>2006-11-21T09:07:23.223000</t>
  </si>
  <si>
    <t>2006-11-22T14:30:31</t>
  </si>
  <si>
    <t>2006-11-21T11:09:46.257000</t>
  </si>
  <si>
    <t>J9TY45040</t>
  </si>
  <si>
    <t>2006-11-21T09:16:09.240000</t>
  </si>
  <si>
    <t>2006-11-22T15:14:25</t>
  </si>
  <si>
    <t>2006-11-21T11:24:54.257000</t>
  </si>
  <si>
    <t>J9TY78030</t>
  </si>
  <si>
    <t>COMA-OUTSKIRTS-36</t>
  </si>
  <si>
    <t>2006-11-27T22:07:10.233000</t>
  </si>
  <si>
    <t>2006-11-28T13:08:02</t>
  </si>
  <si>
    <t>2006-11-28T01:04:09.263000</t>
  </si>
  <si>
    <t>J9TY78040</t>
  </si>
  <si>
    <t>2006-11-27T22:15:56.217000</t>
  </si>
  <si>
    <t>2006-11-28T13:08:13</t>
  </si>
  <si>
    <t>2006-11-28T01:19:17.263000</t>
  </si>
  <si>
    <t>J9TY46030</t>
  </si>
  <si>
    <t>COMA-OUTSKIRTS-4</t>
  </si>
  <si>
    <t>2007-01-17T19:07:21.323000</t>
  </si>
  <si>
    <t>2007-01-18T07:21:14</t>
  </si>
  <si>
    <t>2007-01-17T22:29:57.220000</t>
  </si>
  <si>
    <t>J9TY46040</t>
  </si>
  <si>
    <t>2007-01-17T19:16:07.307000</t>
  </si>
  <si>
    <t>2007-01-18T08:01:47</t>
  </si>
  <si>
    <t>2007-01-17T22:45:05.253000</t>
  </si>
  <si>
    <t>J9TY01030</t>
  </si>
  <si>
    <t>COMA1-1</t>
  </si>
  <si>
    <t>2007-01-09T16:07:37.323000</t>
  </si>
  <si>
    <t>2007-01-10T03:18:23</t>
  </si>
  <si>
    <t>2007-01-09T18:09:59.363000</t>
  </si>
  <si>
    <t>J9TY01040</t>
  </si>
  <si>
    <t>2007-01-09T16:16:23.307000</t>
  </si>
  <si>
    <t>2007-01-10T04:15:30</t>
  </si>
  <si>
    <t>2007-01-09T18:25:07.363000</t>
  </si>
  <si>
    <t>J9TY02030</t>
  </si>
  <si>
    <t>COMA1-2</t>
  </si>
  <si>
    <t>2007-01-09T00:31:32.300000</t>
  </si>
  <si>
    <t>2007-01-09T21:11:13</t>
  </si>
  <si>
    <t>2007-01-09T05:23:34.340000</t>
  </si>
  <si>
    <t>J9TY02040</t>
  </si>
  <si>
    <t>2007-01-09T00:40:18.317000</t>
  </si>
  <si>
    <t>2007-01-09T23:05:29</t>
  </si>
  <si>
    <t>2007-01-09T05:38:42.340000</t>
  </si>
  <si>
    <t>J9TY03030</t>
  </si>
  <si>
    <t>COMA1-3</t>
  </si>
  <si>
    <t>2007-01-20T12:37:22.167000</t>
  </si>
  <si>
    <t>2007-01-20T22:44:38</t>
  </si>
  <si>
    <t>2007-01-20T15:55:01.247000</t>
  </si>
  <si>
    <t>J9TY03040</t>
  </si>
  <si>
    <t>2007-01-20T12:46:08.190000</t>
  </si>
  <si>
    <t>2007-01-20T23:05:37</t>
  </si>
  <si>
    <t>2007-01-20T16:10:09.230000</t>
  </si>
  <si>
    <t>J9TY05030</t>
  </si>
  <si>
    <t>COMA1-5</t>
  </si>
  <si>
    <t>2007-01-09T22:54:03.307000</t>
  </si>
  <si>
    <t>2007-01-10T12:00:48</t>
  </si>
  <si>
    <t>2007-01-09T22:59:54.467000</t>
  </si>
  <si>
    <t>J9TY05040</t>
  </si>
  <si>
    <t>2007-01-09T23:02:49.323000</t>
  </si>
  <si>
    <t>2007-01-10T12:05:49</t>
  </si>
  <si>
    <t>2007-01-09T23:13:30.467000</t>
  </si>
  <si>
    <t>J9TY07030</t>
  </si>
  <si>
    <t>COMA1-7</t>
  </si>
  <si>
    <t>2007-01-11T17:40:21.323000</t>
  </si>
  <si>
    <t>2007-01-12T03:38:08</t>
  </si>
  <si>
    <t>2007-01-11T17:46:12.450000</t>
  </si>
  <si>
    <t>J9TY07040</t>
  </si>
  <si>
    <t>2007-01-11T17:49:07.307000</t>
  </si>
  <si>
    <t>2007-01-12T05:30:13</t>
  </si>
  <si>
    <t>2007-01-11T17:59:48.453000</t>
  </si>
  <si>
    <t>J9TY08030</t>
  </si>
  <si>
    <t>COMA2-1</t>
  </si>
  <si>
    <t>2007-01-12T16:02:33.323000</t>
  </si>
  <si>
    <t>2007-01-13T10:49:50</t>
  </si>
  <si>
    <t>2007-01-12T18:05:55.237000</t>
  </si>
  <si>
    <t>J9TY08040</t>
  </si>
  <si>
    <t>2007-01-12T16:11:19.307000</t>
  </si>
  <si>
    <t>2007-01-13T11:31:56</t>
  </si>
  <si>
    <t>2007-01-12T18:21:03.237000</t>
  </si>
  <si>
    <t>J9TY09030</t>
  </si>
  <si>
    <t>COMA2-2</t>
  </si>
  <si>
    <t>2007-01-13T17:37:03.307000</t>
  </si>
  <si>
    <t>2007-01-14T10:53:56</t>
  </si>
  <si>
    <t>2007-01-13T20:59:06.340000</t>
  </si>
  <si>
    <t>J9TY09040</t>
  </si>
  <si>
    <t>2007-01-13T17:45:49.323000</t>
  </si>
  <si>
    <t>2007-01-14T11:37:02</t>
  </si>
  <si>
    <t>2007-01-13T21:14:14.340000</t>
  </si>
  <si>
    <t>J9TY10030</t>
  </si>
  <si>
    <t>COMA2-3</t>
  </si>
  <si>
    <t>2007-01-13T22:47:41.323000</t>
  </si>
  <si>
    <t>2007-01-14T12:50:53</t>
  </si>
  <si>
    <t>2007-01-14T03:32:39.363000</t>
  </si>
  <si>
    <t>J9TY10040</t>
  </si>
  <si>
    <t>2007-01-13T22:56:27.307000</t>
  </si>
  <si>
    <t>2007-01-14T13:31:01</t>
  </si>
  <si>
    <t>2007-01-14T03:47:47.363000</t>
  </si>
  <si>
    <t>J9TY11030</t>
  </si>
  <si>
    <t>COMA2-4</t>
  </si>
  <si>
    <t>2007-01-14T15:59:34.317000</t>
  </si>
  <si>
    <t>2007-01-15T00:10:33</t>
  </si>
  <si>
    <t>2007-01-14T16:05:25.443000</t>
  </si>
  <si>
    <t>J9TY11040</t>
  </si>
  <si>
    <t>2007-01-14T16:08:20.300000</t>
  </si>
  <si>
    <t>2007-01-15T00:15:41</t>
  </si>
  <si>
    <t>2007-01-14T16:19:01.477000</t>
  </si>
  <si>
    <t>J9TY12030</t>
  </si>
  <si>
    <t>COMA2-5</t>
  </si>
  <si>
    <t>2007-01-12T19:37:47.307000</t>
  </si>
  <si>
    <t>2007-01-13T14:06:30</t>
  </si>
  <si>
    <t>2007-01-13T00:19:25.347000</t>
  </si>
  <si>
    <t>J9TY12040</t>
  </si>
  <si>
    <t>2007-01-12T19:46:33.323000</t>
  </si>
  <si>
    <t>2007-01-13T14:39:31</t>
  </si>
  <si>
    <t>2007-01-13T00:34:33.347000</t>
  </si>
  <si>
    <t>J9TY13030</t>
  </si>
  <si>
    <t>COMA2-6</t>
  </si>
  <si>
    <t>2007-01-13T04:48:12.300000</t>
  </si>
  <si>
    <t>2007-01-13T16:46:34</t>
  </si>
  <si>
    <t>2007-01-13T05:16:44.357000</t>
  </si>
  <si>
    <t>J9TY13040</t>
  </si>
  <si>
    <t>2007-01-13T04:56:58.317000</t>
  </si>
  <si>
    <t>2007-01-13T17:06:07</t>
  </si>
  <si>
    <t>2007-01-13T05:31:52.357000</t>
  </si>
  <si>
    <t>J9TY14030</t>
  </si>
  <si>
    <t>COMA2-7</t>
  </si>
  <si>
    <t>2007-01-08T02:08:49.323000</t>
  </si>
  <si>
    <t>2007-01-08T20:56:54</t>
  </si>
  <si>
    <t>2007-01-08T07:00:31.333000</t>
  </si>
  <si>
    <t>J9TY14040</t>
  </si>
  <si>
    <t>2007-01-08T02:17:35.307000</t>
  </si>
  <si>
    <t>2007-01-08T20:57:15</t>
  </si>
  <si>
    <t>2007-01-08T07:15:39.363000</t>
  </si>
  <si>
    <t>J9TY15030</t>
  </si>
  <si>
    <t>COMA3-1</t>
  </si>
  <si>
    <t>2007-01-26T17:17:17.323000</t>
  </si>
  <si>
    <t>2007-01-27T07:55:06</t>
  </si>
  <si>
    <t>2007-01-26T19:20:37.347000</t>
  </si>
  <si>
    <t>J9TY15040</t>
  </si>
  <si>
    <t>2007-01-26T17:26:03.307000</t>
  </si>
  <si>
    <t>2007-01-27T08:41:44</t>
  </si>
  <si>
    <t>2007-01-26T19:35:45.347000</t>
  </si>
  <si>
    <t>J9TY16030</t>
  </si>
  <si>
    <t>COMA3-2</t>
  </si>
  <si>
    <t>2007-01-25T07:49:41.323000</t>
  </si>
  <si>
    <t>2007-01-25T17:58:20</t>
  </si>
  <si>
    <t>2007-01-25T12:35:45.347000</t>
  </si>
  <si>
    <t>J9TY16040</t>
  </si>
  <si>
    <t>2007-01-25T07:58:27.307000</t>
  </si>
  <si>
    <t>2007-01-25T22:47:26</t>
  </si>
  <si>
    <t>2007-01-25T12:50:53.347000</t>
  </si>
  <si>
    <t>J9TY18030</t>
  </si>
  <si>
    <t>COMA3-4</t>
  </si>
  <si>
    <t>2007-01-25T14:23:44.137000</t>
  </si>
  <si>
    <t>2007-01-26T03:36:36</t>
  </si>
  <si>
    <t>2007-01-25T17:23:24.357000</t>
  </si>
  <si>
    <t>J9TY18040</t>
  </si>
  <si>
    <t>2007-01-25T14:32:30.213000</t>
  </si>
  <si>
    <t>2007-01-26T04:19:37</t>
  </si>
  <si>
    <t>2007-01-25T17:38:32.357000</t>
  </si>
  <si>
    <t>J9TY19030</t>
  </si>
  <si>
    <t>COMA3-5</t>
  </si>
  <si>
    <t>2007-01-25T18:54:38.317000</t>
  </si>
  <si>
    <t>2007-01-26T08:53:37</t>
  </si>
  <si>
    <t>2007-01-25T20:57:55.363000</t>
  </si>
  <si>
    <t>J9TY19040</t>
  </si>
  <si>
    <t>2007-01-25T19:03:24.300000</t>
  </si>
  <si>
    <t>2007-01-26T09:36:50</t>
  </si>
  <si>
    <t>2007-01-25T21:13:03.363000</t>
  </si>
  <si>
    <t>J9TY22010</t>
  </si>
  <si>
    <t>COMA4-1</t>
  </si>
  <si>
    <t>2007-01-22T15:47:05.323000</t>
  </si>
  <si>
    <t>2007-01-22T23:33:26</t>
  </si>
  <si>
    <t>2007-01-22T16:15:37.347000</t>
  </si>
  <si>
    <t>J9TY22020</t>
  </si>
  <si>
    <t>2007-01-22T15:55:51.307000</t>
  </si>
  <si>
    <t>2007-01-22T23:56:45</t>
  </si>
  <si>
    <t>2007-01-22T16:29:13.347000</t>
  </si>
  <si>
    <t>J9TYA2010</t>
  </si>
  <si>
    <t>2007-01-22T17:22:23.307000</t>
  </si>
  <si>
    <t>2007-01-23T00:21:34</t>
  </si>
  <si>
    <t>2007-01-22T17:50:55.330000</t>
  </si>
  <si>
    <t>J9TYA2020</t>
  </si>
  <si>
    <t>2007-01-22T17:31:09.323000</t>
  </si>
  <si>
    <t>2007-01-23T00:46:38</t>
  </si>
  <si>
    <t>2007-01-22T18:04:31.363000</t>
  </si>
  <si>
    <t>J9TY23030</t>
  </si>
  <si>
    <t>COMA4-2</t>
  </si>
  <si>
    <t>2007-01-27T06:15:55.307000</t>
  </si>
  <si>
    <t>2007-01-28T11:58:16</t>
  </si>
  <si>
    <t>2007-01-27T10:57:02.340000</t>
  </si>
  <si>
    <t>J9TY23040</t>
  </si>
  <si>
    <t>2007-01-27T06:24:41.323000</t>
  </si>
  <si>
    <t>2007-01-28T12:37:52</t>
  </si>
  <si>
    <t>2007-01-27T11:12:10.373000</t>
  </si>
  <si>
    <t>J9TY24PLQ</t>
  </si>
  <si>
    <t>COMA4-3</t>
  </si>
  <si>
    <t>2007-01-24T09:27:24.300000</t>
  </si>
  <si>
    <t>2007-01-24T14:12:29</t>
  </si>
  <si>
    <t>2007-01-24T09:33:15.363000</t>
  </si>
  <si>
    <t>J9TY24PNQ</t>
  </si>
  <si>
    <t>2007-01-24T09:36:10.317000</t>
  </si>
  <si>
    <t>2007-01-24T14:17:00</t>
  </si>
  <si>
    <t>2007-01-24T09:46:51.333000</t>
  </si>
  <si>
    <t>J9TYA4PXQ</t>
  </si>
  <si>
    <t>2007-01-24T10:55:37.157000</t>
  </si>
  <si>
    <t>2007-01-24T14:21:32</t>
  </si>
  <si>
    <t>2007-01-24T11:01:28.227000</t>
  </si>
  <si>
    <t>J9TYA4Q0Q</t>
  </si>
  <si>
    <t>2007-01-24T11:04:23.203000</t>
  </si>
  <si>
    <t>2007-01-24T14:26:33</t>
  </si>
  <si>
    <t>2007-01-24T11:15:04.227000</t>
  </si>
  <si>
    <t>J9TYB4010</t>
  </si>
  <si>
    <t>2007-01-24T12:31:30.317000</t>
  </si>
  <si>
    <t>2007-01-24T23:23:30</t>
  </si>
  <si>
    <t>2007-01-24T14:12:52.357000</t>
  </si>
  <si>
    <t>J9TYB4020</t>
  </si>
  <si>
    <t>2007-01-24T12:40:16.300000</t>
  </si>
  <si>
    <t>2007-01-24T23:46:42</t>
  </si>
  <si>
    <t>2007-01-24T14:26:28.357000</t>
  </si>
  <si>
    <t>J9TY25010</t>
  </si>
  <si>
    <t>COMA4-4</t>
  </si>
  <si>
    <t>2007-01-24T15:44:50.317000</t>
  </si>
  <si>
    <t>2007-01-25T02:26:23</t>
  </si>
  <si>
    <t>2007-01-24T16:13:22.340000</t>
  </si>
  <si>
    <t>J9TY25020</t>
  </si>
  <si>
    <t>2007-01-24T15:53:36.300000</t>
  </si>
  <si>
    <t>2007-01-25T02:47:57</t>
  </si>
  <si>
    <t>2007-01-24T16:26:58.340000</t>
  </si>
  <si>
    <t>J9TYA5010</t>
  </si>
  <si>
    <t>2007-01-24T17:19:10.317000</t>
  </si>
  <si>
    <t>2007-01-25T05:38:07</t>
  </si>
  <si>
    <t>2007-01-24T17:47:42.340000</t>
  </si>
  <si>
    <t>J9TYA5020</t>
  </si>
  <si>
    <t>2007-01-24T17:27:56.300000</t>
  </si>
  <si>
    <t>2007-01-25T06:00:11</t>
  </si>
  <si>
    <t>2007-01-24T18:01:18.340000</t>
  </si>
  <si>
    <t>J9TY33030</t>
  </si>
  <si>
    <t>COMA5-5</t>
  </si>
  <si>
    <t>2007-01-15T15:57:47.307000</t>
  </si>
  <si>
    <t>2007-01-16T06:47:04</t>
  </si>
  <si>
    <t>2007-01-15T18:01:02.340000</t>
  </si>
  <si>
    <t>J9TY33040</t>
  </si>
  <si>
    <t>2007-01-15T16:06:33.323000</t>
  </si>
  <si>
    <t>2007-01-16T04:54:59</t>
  </si>
  <si>
    <t>2007-01-15T18:16:10.340000</t>
  </si>
  <si>
    <t>J9TY38030</t>
  </si>
  <si>
    <t>COMA6-3</t>
  </si>
  <si>
    <t>2007-01-15T19:32:53.323000</t>
  </si>
  <si>
    <t>2007-01-16T11:47:46</t>
  </si>
  <si>
    <t>2007-01-15T19:38:44.450000</t>
  </si>
  <si>
    <t>J9TY38040</t>
  </si>
  <si>
    <t>2007-01-15T19:41:39.307000</t>
  </si>
  <si>
    <t>2007-01-16T11:52:44</t>
  </si>
  <si>
    <t>2007-01-15T19:52:20.450000</t>
  </si>
  <si>
    <t>J9TY06030</t>
  </si>
  <si>
    <t>COMA7-6</t>
  </si>
  <si>
    <t>2007-01-10T14:29:32.300000</t>
  </si>
  <si>
    <t>2007-01-11T01:52:00</t>
  </si>
  <si>
    <t>2007-01-10T14:35:23.460000</t>
  </si>
  <si>
    <t>J9TY06040</t>
  </si>
  <si>
    <t>2007-01-10T14:38:18.317000</t>
  </si>
  <si>
    <t>2007-01-11T01:59:34</t>
  </si>
  <si>
    <t>2007-01-10T14:48:59.460000</t>
  </si>
  <si>
    <t>J9TY75030</t>
  </si>
  <si>
    <t>COMA7-7</t>
  </si>
  <si>
    <t>2007-01-17T14:37:48.300000</t>
  </si>
  <si>
    <t>2007-01-18T04:56:38</t>
  </si>
  <si>
    <t>2007-01-17T17:35:43.363000</t>
  </si>
  <si>
    <t>J9TY75040</t>
  </si>
  <si>
    <t>2007-01-17T14:46:34.317000</t>
  </si>
  <si>
    <t>2007-01-18T05:39:12</t>
  </si>
  <si>
    <t>2007-01-17T17:50:51.330000</t>
  </si>
  <si>
    <t>JB2I01010</t>
  </si>
  <si>
    <t>NGC-4874</t>
  </si>
  <si>
    <t>WFCENTER</t>
  </si>
  <si>
    <t>2010-02-26T10:44:15.013000</t>
  </si>
  <si>
    <t>BLAKESLEE</t>
  </si>
  <si>
    <t>2011-02-26T14:11:17.717000</t>
  </si>
  <si>
    <t>2010-02-26T11:29:28.060000</t>
  </si>
  <si>
    <t>JB2I01020</t>
  </si>
  <si>
    <t>2010-02-26T12:16:42.020000</t>
  </si>
  <si>
    <t>2011-02-27T00:10:44.227000</t>
  </si>
  <si>
    <t>2010-02-26T17:52:41.053000</t>
  </si>
  <si>
    <t>JB2I02010</t>
  </si>
  <si>
    <t>NGC-4889</t>
  </si>
  <si>
    <t>WFC2</t>
  </si>
  <si>
    <t>2010-03-01T10:54:27.013000</t>
  </si>
  <si>
    <t>2011-03-01T15:57:01.197000</t>
  </si>
  <si>
    <t>2010-03-01T12:24:31.070000</t>
  </si>
  <si>
    <t>JB2I02020</t>
  </si>
  <si>
    <t>2010-03-01T12:27:51.013000</t>
  </si>
  <si>
    <t>2011-03-02T05:45:15.627000</t>
  </si>
  <si>
    <t>2010-03-01T18:48:36.060000</t>
  </si>
  <si>
    <t>JB2I03010</t>
  </si>
  <si>
    <t>2010-03-01T07:27:26.800000</t>
  </si>
  <si>
    <t>2011-03-01T12:22:46.973000</t>
  </si>
  <si>
    <t>2010-03-01T09:12:45.053000</t>
  </si>
  <si>
    <t>JC1G01010</t>
  </si>
  <si>
    <t>COMA2-0</t>
  </si>
  <si>
    <t>2012-12-19T16:58:03.950000</t>
  </si>
  <si>
    <t>CHIBOUCAS</t>
  </si>
  <si>
    <t>2013-12-19T23:34:08</t>
  </si>
  <si>
    <t>2012-12-19T19:51:23.977000</t>
  </si>
  <si>
    <t>JC1G01020</t>
  </si>
  <si>
    <t>2012-12-19T17:06:51.950000</t>
  </si>
  <si>
    <t>2013-12-19T23:40:53</t>
  </si>
  <si>
    <t>2012-12-19T20:05:41.990000</t>
  </si>
  <si>
    <t>JC1G03010</t>
  </si>
  <si>
    <t>2013-01-19T19:25:20.057000</t>
  </si>
  <si>
    <t>2014-01-20T02:45:15</t>
  </si>
  <si>
    <t>2013-01-19T21:24:44.113000</t>
  </si>
  <si>
    <t>JC1G03020</t>
  </si>
  <si>
    <t>2013-01-19T19:34:08.060000</t>
  </si>
  <si>
    <t>2014-01-20T02:52:11</t>
  </si>
  <si>
    <t>2013-01-19T21:39:02.097000</t>
  </si>
  <si>
    <t>JC1G02010</t>
  </si>
  <si>
    <t>COMA3-0</t>
  </si>
  <si>
    <t>2013-01-09T21:45:17.997000</t>
  </si>
  <si>
    <t>2014-01-10T02:49:02</t>
  </si>
  <si>
    <t>2013-01-09T23:43:35.043000</t>
  </si>
  <si>
    <t>JC1G02020</t>
  </si>
  <si>
    <t>2013-01-09T21:54:05.997000</t>
  </si>
  <si>
    <t>2014-01-10T02:55:48</t>
  </si>
  <si>
    <t>2013-01-09T23:57:53.060000</t>
  </si>
  <si>
    <t>JC1G05010</t>
  </si>
  <si>
    <t>COMA3-6</t>
  </si>
  <si>
    <t>2013-01-29T17:05:15.067000</t>
  </si>
  <si>
    <t>2014-01-30T16:16:48</t>
  </si>
  <si>
    <t>2013-01-29T19:04:44.083000</t>
  </si>
  <si>
    <t>JC1G05020</t>
  </si>
  <si>
    <t>2013-01-29T17:14:03.067000</t>
  </si>
  <si>
    <t>2014-01-30T16:24:53</t>
  </si>
  <si>
    <t>2013-01-29T19:19:02.100000</t>
  </si>
  <si>
    <t>JC1G04010</t>
  </si>
  <si>
    <t>COMA4-5</t>
  </si>
  <si>
    <t>2012-12-26T16:05:43.020000</t>
  </si>
  <si>
    <t>2013-12-26T21:42:24</t>
  </si>
  <si>
    <t>2012-12-26T18:08:10.050000</t>
  </si>
  <si>
    <t>JC1G04020</t>
  </si>
  <si>
    <t>2012-12-26T16:14:31.020000</t>
  </si>
  <si>
    <t>2013-12-26T21:54:11</t>
  </si>
  <si>
    <t>2012-12-26T18:22:28.067000</t>
  </si>
  <si>
    <t>JC1G06010</t>
  </si>
  <si>
    <t>COMA4-6</t>
  </si>
  <si>
    <t>2013-01-16T22:49:39.020000</t>
  </si>
  <si>
    <t>2014-01-17T04:00:15</t>
  </si>
  <si>
    <t>2013-01-17T02:12:06.053000</t>
  </si>
  <si>
    <t>JC1G06020</t>
  </si>
  <si>
    <t>2013-01-16T22:58:27.020000</t>
  </si>
  <si>
    <t>2014-01-17T04:07:00</t>
  </si>
  <si>
    <t>2013-01-17T02:26:24.067000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</si>
</sst>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Sheet1!$A$2:$A$4</c:f>
              <c:numCache>
                <c:formatCode>General</c:formatCode>
                <c:ptCount val="3"/>
                <c:pt idx="0">
                  <c:v>450</c:v>
                </c:pt>
                <c:pt idx="1">
                  <c:v>1100</c:v>
                </c:pt>
                <c:pt idx="2">
                  <c:v>2000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16</c:v>
                </c:pt>
                <c:pt idx="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F-2040-B6CF-D0A153A87F5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861329833770776E-2"/>
                  <c:y val="0.14963035870516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Sheet1!$A$2:$A$4</c:f>
              <c:numCache>
                <c:formatCode>General</c:formatCode>
                <c:ptCount val="3"/>
                <c:pt idx="0">
                  <c:v>450</c:v>
                </c:pt>
                <c:pt idx="1">
                  <c:v>1100</c:v>
                </c:pt>
                <c:pt idx="2">
                  <c:v>2000</c:v>
                </c:pt>
              </c:numCache>
            </c:numRef>
          </c:xVal>
          <c:yVal>
            <c:numRef>
              <c:f>Sheet1!$C$2:$C$4</c:f>
              <c:numCache>
                <c:formatCode>General</c:formatCode>
                <c:ptCount val="3"/>
                <c:pt idx="0">
                  <c:v>13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8F-2040-B6CF-D0A153A8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034208"/>
        <c:axId val="1493514368"/>
      </c:scatterChart>
      <c:valAx>
        <c:axId val="149403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14368"/>
        <c:crosses val="autoZero"/>
        <c:crossBetween val="midCat"/>
      </c:valAx>
      <c:valAx>
        <c:axId val="14935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3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Sheet2!$AC$1</c:f>
              <c:strCache>
                <c:ptCount val="1"/>
                <c:pt idx="0">
                  <c:v>MajAxis (arcmin)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Sheet2!$AB$2:$AB$114</c:f>
              <c:numCache>
                <c:formatCode>General</c:formatCode>
                <c:ptCount val="113"/>
                <c:pt idx="0">
                  <c:v>11.300000190734799</c:v>
                </c:pt>
                <c:pt idx="1">
                  <c:v>12.7100000381469</c:v>
                </c:pt>
                <c:pt idx="2">
                  <c:v>19.643999099731399</c:v>
                </c:pt>
                <c:pt idx="3">
                  <c:v>18.920000076293899</c:v>
                </c:pt>
                <c:pt idx="4">
                  <c:v>13.579999923706</c:v>
                </c:pt>
                <c:pt idx="5">
                  <c:v>17.691999435424801</c:v>
                </c:pt>
                <c:pt idx="6">
                  <c:v>18.620000839233398</c:v>
                </c:pt>
                <c:pt idx="7">
                  <c:v>19.0100002288818</c:v>
                </c:pt>
                <c:pt idx="8">
                  <c:v>18.030000686645501</c:v>
                </c:pt>
                <c:pt idx="9">
                  <c:v>14.069999694824199</c:v>
                </c:pt>
                <c:pt idx="10">
                  <c:v>16.809999465942301</c:v>
                </c:pt>
                <c:pt idx="11">
                  <c:v>14.1000003814697</c:v>
                </c:pt>
                <c:pt idx="12">
                  <c:v>17.020000457763601</c:v>
                </c:pt>
                <c:pt idx="13">
                  <c:v>17.360000610351499</c:v>
                </c:pt>
                <c:pt idx="14">
                  <c:v>17.406000137329102</c:v>
                </c:pt>
                <c:pt idx="15">
                  <c:v>14.293999671936</c:v>
                </c:pt>
                <c:pt idx="16">
                  <c:v>14.333000183105399</c:v>
                </c:pt>
                <c:pt idx="17">
                  <c:v>19.059999465942301</c:v>
                </c:pt>
                <c:pt idx="18">
                  <c:v>17.659999847412099</c:v>
                </c:pt>
                <c:pt idx="19">
                  <c:v>18.604000091552699</c:v>
                </c:pt>
                <c:pt idx="20">
                  <c:v>18.049999237060501</c:v>
                </c:pt>
                <c:pt idx="21">
                  <c:v>18.520000457763601</c:v>
                </c:pt>
                <c:pt idx="22">
                  <c:v>17.9300003051757</c:v>
                </c:pt>
                <c:pt idx="23">
                  <c:v>19.309999465942301</c:v>
                </c:pt>
                <c:pt idx="24">
                  <c:v>15.420000076293899</c:v>
                </c:pt>
                <c:pt idx="25">
                  <c:v>17.959999084472599</c:v>
                </c:pt>
                <c:pt idx="26">
                  <c:v>15.420000076293899</c:v>
                </c:pt>
                <c:pt idx="27">
                  <c:v>16.049999237060501</c:v>
                </c:pt>
                <c:pt idx="28">
                  <c:v>16.049999237060501</c:v>
                </c:pt>
                <c:pt idx="29">
                  <c:v>16.049999237060501</c:v>
                </c:pt>
                <c:pt idx="30">
                  <c:v>15.149999618530201</c:v>
                </c:pt>
                <c:pt idx="31">
                  <c:v>16.049999237060501</c:v>
                </c:pt>
                <c:pt idx="32">
                  <c:v>16.847000122070298</c:v>
                </c:pt>
                <c:pt idx="33">
                  <c:v>17.799999237060501</c:v>
                </c:pt>
                <c:pt idx="34">
                  <c:v>17.590000152587798</c:v>
                </c:pt>
                <c:pt idx="35">
                  <c:v>16.120000839233398</c:v>
                </c:pt>
                <c:pt idx="36">
                  <c:v>16.120000839233398</c:v>
                </c:pt>
                <c:pt idx="37">
                  <c:v>16.120000839233398</c:v>
                </c:pt>
                <c:pt idx="38">
                  <c:v>16.120000839233398</c:v>
                </c:pt>
                <c:pt idx="39">
                  <c:v>17.819999694824201</c:v>
                </c:pt>
                <c:pt idx="40">
                  <c:v>17.149999618530199</c:v>
                </c:pt>
                <c:pt idx="41">
                  <c:v>15.869999885559</c:v>
                </c:pt>
                <c:pt idx="42">
                  <c:v>15.5900001525878</c:v>
                </c:pt>
                <c:pt idx="43">
                  <c:v>17.2600002288818</c:v>
                </c:pt>
                <c:pt idx="44">
                  <c:v>17.340000152587798</c:v>
                </c:pt>
                <c:pt idx="45">
                  <c:v>17.4300003051757</c:v>
                </c:pt>
                <c:pt idx="46">
                  <c:v>15.994000434875399</c:v>
                </c:pt>
                <c:pt idx="47">
                  <c:v>15.439999580383301</c:v>
                </c:pt>
                <c:pt idx="48">
                  <c:v>16.920000076293899</c:v>
                </c:pt>
                <c:pt idx="49">
                  <c:v>17.399999618530199</c:v>
                </c:pt>
                <c:pt idx="50">
                  <c:v>17.170000076293899</c:v>
                </c:pt>
                <c:pt idx="51">
                  <c:v>15.520000457763601</c:v>
                </c:pt>
                <c:pt idx="52">
                  <c:v>15.649999618530201</c:v>
                </c:pt>
                <c:pt idx="53">
                  <c:v>16.7199993133544</c:v>
                </c:pt>
                <c:pt idx="54">
                  <c:v>17.149999618530199</c:v>
                </c:pt>
                <c:pt idx="55">
                  <c:v>15.329999923706</c:v>
                </c:pt>
                <c:pt idx="57">
                  <c:v>15.170000076293899</c:v>
                </c:pt>
                <c:pt idx="58">
                  <c:v>15.270000457763601</c:v>
                </c:pt>
                <c:pt idx="59">
                  <c:v>15.050000190734799</c:v>
                </c:pt>
                <c:pt idx="60">
                  <c:v>16.790000915527301</c:v>
                </c:pt>
                <c:pt idx="61">
                  <c:v>14.75</c:v>
                </c:pt>
                <c:pt idx="62">
                  <c:v>16.809999465942301</c:v>
                </c:pt>
                <c:pt idx="63">
                  <c:v>15.890000343322701</c:v>
                </c:pt>
                <c:pt idx="64">
                  <c:v>16.600000381469702</c:v>
                </c:pt>
                <c:pt idx="65">
                  <c:v>17</c:v>
                </c:pt>
                <c:pt idx="66">
                  <c:v>14.9600000381469</c:v>
                </c:pt>
                <c:pt idx="67">
                  <c:v>17.040000915527301</c:v>
                </c:pt>
                <c:pt idx="68">
                  <c:v>17.0750007629394</c:v>
                </c:pt>
                <c:pt idx="69">
                  <c:v>15.319999694824199</c:v>
                </c:pt>
                <c:pt idx="70">
                  <c:v>17.129999160766602</c:v>
                </c:pt>
                <c:pt idx="71">
                  <c:v>15.5900001525878</c:v>
                </c:pt>
                <c:pt idx="72">
                  <c:v>14.640000343322701</c:v>
                </c:pt>
                <c:pt idx="73">
                  <c:v>16.340000152587798</c:v>
                </c:pt>
                <c:pt idx="74">
                  <c:v>14.569999694824199</c:v>
                </c:pt>
                <c:pt idx="75">
                  <c:v>15.2299995422363</c:v>
                </c:pt>
                <c:pt idx="76">
                  <c:v>15.319999694824199</c:v>
                </c:pt>
                <c:pt idx="77">
                  <c:v>14.6300001144409</c:v>
                </c:pt>
                <c:pt idx="78">
                  <c:v>14.843999862670801</c:v>
                </c:pt>
                <c:pt idx="79">
                  <c:v>16.020000457763601</c:v>
                </c:pt>
                <c:pt idx="80">
                  <c:v>14.079999923706</c:v>
                </c:pt>
                <c:pt idx="81">
                  <c:v>17.444999694824201</c:v>
                </c:pt>
                <c:pt idx="82">
                  <c:v>17.569999694824201</c:v>
                </c:pt>
                <c:pt idx="83">
                  <c:v>17.579999923706001</c:v>
                </c:pt>
                <c:pt idx="84">
                  <c:v>14.420000076293899</c:v>
                </c:pt>
                <c:pt idx="85">
                  <c:v>17.629999160766602</c:v>
                </c:pt>
                <c:pt idx="86">
                  <c:v>14.1800003051757</c:v>
                </c:pt>
                <c:pt idx="87">
                  <c:v>17.690000534057599</c:v>
                </c:pt>
                <c:pt idx="88">
                  <c:v>15.039999961853001</c:v>
                </c:pt>
                <c:pt idx="89">
                  <c:v>14.770000457763601</c:v>
                </c:pt>
                <c:pt idx="90">
                  <c:v>14.6099996566772</c:v>
                </c:pt>
                <c:pt idx="91">
                  <c:v>17.860000610351499</c:v>
                </c:pt>
                <c:pt idx="92">
                  <c:v>17.870000839233398</c:v>
                </c:pt>
                <c:pt idx="93">
                  <c:v>15.039999961853001</c:v>
                </c:pt>
                <c:pt idx="94">
                  <c:v>14.140000343322701</c:v>
                </c:pt>
                <c:pt idx="95">
                  <c:v>14.029999732971101</c:v>
                </c:pt>
                <c:pt idx="96">
                  <c:v>13.770000457763601</c:v>
                </c:pt>
                <c:pt idx="97">
                  <c:v>18.0550003051757</c:v>
                </c:pt>
                <c:pt idx="98">
                  <c:v>18.069999694824201</c:v>
                </c:pt>
                <c:pt idx="99">
                  <c:v>18.299999237060501</c:v>
                </c:pt>
                <c:pt idx="100">
                  <c:v>18.3449993133544</c:v>
                </c:pt>
                <c:pt idx="101">
                  <c:v>14.270000457763601</c:v>
                </c:pt>
                <c:pt idx="102">
                  <c:v>14.3599996566772</c:v>
                </c:pt>
                <c:pt idx="103">
                  <c:v>17.309999465942301</c:v>
                </c:pt>
                <c:pt idx="104">
                  <c:v>18.7660007476806</c:v>
                </c:pt>
                <c:pt idx="105">
                  <c:v>17.076999664306602</c:v>
                </c:pt>
                <c:pt idx="106">
                  <c:v>16.569999694824201</c:v>
                </c:pt>
                <c:pt idx="107">
                  <c:v>14.0100002288818</c:v>
                </c:pt>
                <c:pt idx="108">
                  <c:v>13.520000457763601</c:v>
                </c:pt>
                <c:pt idx="109">
                  <c:v>13.862000465393001</c:v>
                </c:pt>
                <c:pt idx="110">
                  <c:v>13.5</c:v>
                </c:pt>
              </c:numCache>
            </c:numRef>
          </c:xVal>
          <c:yVal>
            <c:numRef>
              <c:f>Sheet2!$AC$2:$AC$114</c:f>
              <c:numCache>
                <c:formatCode>General</c:formatCode>
                <c:ptCount val="113"/>
                <c:pt idx="0">
                  <c:v>2.8</c:v>
                </c:pt>
                <c:pt idx="1">
                  <c:v>2.4</c:v>
                </c:pt>
                <c:pt idx="2">
                  <c:v>3.65</c:v>
                </c:pt>
                <c:pt idx="3">
                  <c:v>4.0199999999999996</c:v>
                </c:pt>
                <c:pt idx="4">
                  <c:v>1.1000000000000001</c:v>
                </c:pt>
                <c:pt idx="5">
                  <c:v>4.46</c:v>
                </c:pt>
                <c:pt idx="6">
                  <c:v>4.51</c:v>
                </c:pt>
                <c:pt idx="7">
                  <c:v>4.62</c:v>
                </c:pt>
                <c:pt idx="8">
                  <c:v>4.84</c:v>
                </c:pt>
                <c:pt idx="9">
                  <c:v>0.4</c:v>
                </c:pt>
                <c:pt idx="10">
                  <c:v>5</c:v>
                </c:pt>
                <c:pt idx="11">
                  <c:v>0.25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0.3</c:v>
                </c:pt>
                <c:pt idx="17">
                  <c:v>5</c:v>
                </c:pt>
                <c:pt idx="18">
                  <c:v>5.15</c:v>
                </c:pt>
                <c:pt idx="19">
                  <c:v>5.18</c:v>
                </c:pt>
                <c:pt idx="20">
                  <c:v>5.22</c:v>
                </c:pt>
                <c:pt idx="21">
                  <c:v>5.28</c:v>
                </c:pt>
                <c:pt idx="22">
                  <c:v>5.6</c:v>
                </c:pt>
                <c:pt idx="23">
                  <c:v>5.61</c:v>
                </c:pt>
                <c:pt idx="24">
                  <c:v>5.9</c:v>
                </c:pt>
                <c:pt idx="25">
                  <c:v>5.97</c:v>
                </c:pt>
                <c:pt idx="26">
                  <c:v>6.1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0.11</c:v>
                </c:pt>
                <c:pt idx="31">
                  <c:v>6.5</c:v>
                </c:pt>
                <c:pt idx="32">
                  <c:v>6.7</c:v>
                </c:pt>
                <c:pt idx="33">
                  <c:v>6.74</c:v>
                </c:pt>
                <c:pt idx="34">
                  <c:v>6.79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7.04</c:v>
                </c:pt>
                <c:pt idx="40">
                  <c:v>7.07</c:v>
                </c:pt>
                <c:pt idx="41">
                  <c:v>7.1</c:v>
                </c:pt>
                <c:pt idx="42">
                  <c:v>0.71</c:v>
                </c:pt>
                <c:pt idx="43">
                  <c:v>7.15</c:v>
                </c:pt>
                <c:pt idx="44">
                  <c:v>7.19</c:v>
                </c:pt>
                <c:pt idx="45">
                  <c:v>7.31</c:v>
                </c:pt>
                <c:pt idx="47">
                  <c:v>7.4</c:v>
                </c:pt>
                <c:pt idx="48">
                  <c:v>7.93</c:v>
                </c:pt>
                <c:pt idx="49">
                  <c:v>8.14</c:v>
                </c:pt>
                <c:pt idx="50">
                  <c:v>8.32</c:v>
                </c:pt>
                <c:pt idx="51">
                  <c:v>8.4</c:v>
                </c:pt>
                <c:pt idx="52">
                  <c:v>8.5</c:v>
                </c:pt>
                <c:pt idx="53">
                  <c:v>8.66</c:v>
                </c:pt>
                <c:pt idx="54">
                  <c:v>8.66</c:v>
                </c:pt>
                <c:pt idx="55">
                  <c:v>8.6999999999999993</c:v>
                </c:pt>
                <c:pt idx="56">
                  <c:v>8.8000000000000007</c:v>
                </c:pt>
                <c:pt idx="57">
                  <c:v>8.9</c:v>
                </c:pt>
                <c:pt idx="58">
                  <c:v>8.9</c:v>
                </c:pt>
                <c:pt idx="59">
                  <c:v>9.1</c:v>
                </c:pt>
                <c:pt idx="61">
                  <c:v>9.1999999999999993</c:v>
                </c:pt>
                <c:pt idx="63">
                  <c:v>9.4</c:v>
                </c:pt>
                <c:pt idx="64">
                  <c:v>9.6999999999999993</c:v>
                </c:pt>
                <c:pt idx="66">
                  <c:v>9.8000000000000007</c:v>
                </c:pt>
                <c:pt idx="69">
                  <c:v>9.9</c:v>
                </c:pt>
                <c:pt idx="71">
                  <c:v>10.199999999999999</c:v>
                </c:pt>
                <c:pt idx="72">
                  <c:v>10.3</c:v>
                </c:pt>
                <c:pt idx="73">
                  <c:v>10.31</c:v>
                </c:pt>
                <c:pt idx="74">
                  <c:v>11</c:v>
                </c:pt>
                <c:pt idx="75">
                  <c:v>11.1</c:v>
                </c:pt>
                <c:pt idx="76">
                  <c:v>11.6</c:v>
                </c:pt>
                <c:pt idx="77">
                  <c:v>12</c:v>
                </c:pt>
                <c:pt idx="78">
                  <c:v>12.2</c:v>
                </c:pt>
                <c:pt idx="79">
                  <c:v>12.67</c:v>
                </c:pt>
                <c:pt idx="80">
                  <c:v>12.9</c:v>
                </c:pt>
                <c:pt idx="84">
                  <c:v>12.9</c:v>
                </c:pt>
                <c:pt idx="86">
                  <c:v>13</c:v>
                </c:pt>
                <c:pt idx="88">
                  <c:v>13.2</c:v>
                </c:pt>
                <c:pt idx="89">
                  <c:v>13.7</c:v>
                </c:pt>
                <c:pt idx="90">
                  <c:v>13.8</c:v>
                </c:pt>
                <c:pt idx="93">
                  <c:v>13.9</c:v>
                </c:pt>
                <c:pt idx="94">
                  <c:v>14.2</c:v>
                </c:pt>
                <c:pt idx="95">
                  <c:v>14.3</c:v>
                </c:pt>
                <c:pt idx="96">
                  <c:v>14.5</c:v>
                </c:pt>
                <c:pt idx="101">
                  <c:v>14.5</c:v>
                </c:pt>
                <c:pt idx="102">
                  <c:v>14.8</c:v>
                </c:pt>
                <c:pt idx="103">
                  <c:v>15.14</c:v>
                </c:pt>
                <c:pt idx="105">
                  <c:v>15.45</c:v>
                </c:pt>
                <c:pt idx="106">
                  <c:v>15.91</c:v>
                </c:pt>
                <c:pt idx="107">
                  <c:v>16.600000000000001</c:v>
                </c:pt>
                <c:pt idx="108">
                  <c:v>17.399999999999999</c:v>
                </c:pt>
                <c:pt idx="109">
                  <c:v>17.899999999999999</c:v>
                </c:pt>
                <c:pt idx="110">
                  <c:v>19.5</c:v>
                </c:pt>
                <c:pt idx="11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B-3D47-A262-4036FB7EA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138992"/>
        <c:axId val="1791579888"/>
      </c:scatterChart>
      <c:valAx>
        <c:axId val="179113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79888"/>
        <c:crosses val="autoZero"/>
        <c:crossBetween val="midCat"/>
      </c:valAx>
      <c:valAx>
        <c:axId val="17915798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3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72B0EA-3BCB-8547-9568-26BAD31A49C2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616857</xdr:colOff>
      <xdr:row>8</xdr:row>
      <xdr:rowOff>70757</xdr:rowOff>
    </xdr:from>
    <xdr:to>
      <xdr:col>10</xdr:col>
      <xdr:colOff>235857</xdr:colOff>
      <xdr:row>22</xdr:row>
      <xdr:rowOff>19957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67807-A1BB-B18F-B33D-1327F4EC9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37220-87DE-1C02-2334-4ECAA6A8CF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T_2025-09-01T10_32_41-05_00" connectionId="3" xr16:uid="{CB90DD74-0990-7A4D-A0FC-05F54CB5343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T_2025-09-01T10_33_12-05_00" connectionId="4" xr16:uid="{3C845810-A54F-5C44-BF91-D7F7A6AC264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T_2025-09-01T10_32_18-05_00" connectionId="2" xr16:uid="{23373DE9-9000-CD41-88E6-0C6287CA85F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ls_data_cleaned" connectionId="1" xr16:uid="{CDB74B53-C0A0-CA43-BABA-77AB6364E2A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46E3-D5CA-D645-BD71-56915B905BC1}">
  <dimension ref="A1:C8"/>
  <sheetViews>
    <sheetView zoomScale="140" zoomScaleNormal="140" workbookViewId="0">
      <selection activeCell="B6" sqref="B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450</v>
      </c>
      <c r="B2">
        <v>16</v>
      </c>
      <c r="C2">
        <v>13</v>
      </c>
    </row>
    <row r="3" spans="1:3" x14ac:dyDescent="0.2">
      <c r="A3">
        <v>1100</v>
      </c>
      <c r="C3">
        <v>13</v>
      </c>
    </row>
    <row r="4" spans="1:3" x14ac:dyDescent="0.2">
      <c r="A4">
        <v>2000</v>
      </c>
      <c r="B4">
        <v>25</v>
      </c>
    </row>
    <row r="6" spans="1:3" x14ac:dyDescent="0.2">
      <c r="B6">
        <f>A4/A3</f>
        <v>1.8181818181818181</v>
      </c>
    </row>
    <row r="7" spans="1:3" x14ac:dyDescent="0.2">
      <c r="B7">
        <f>B6*4.5</f>
        <v>8.1818181818181817</v>
      </c>
    </row>
    <row r="8" spans="1:3" x14ac:dyDescent="0.2">
      <c r="C8">
        <f>B4/B6</f>
        <v>13.75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E941-A130-BC4D-98D2-C912CE96FA8E}">
  <dimension ref="A1:T88"/>
  <sheetViews>
    <sheetView workbookViewId="0">
      <selection activeCell="H38" sqref="H38"/>
    </sheetView>
  </sheetViews>
  <sheetFormatPr baseColWidth="10" defaultRowHeight="16" x14ac:dyDescent="0.2"/>
  <cols>
    <col min="1" max="1" width="16.83203125" bestFit="1" customWidth="1"/>
    <col min="2" max="2" width="12" bestFit="1" customWidth="1"/>
    <col min="4" max="4" width="11.6640625" bestFit="1" customWidth="1"/>
    <col min="5" max="5" width="11.5" bestFit="1" customWidth="1"/>
    <col min="6" max="6" width="12.83203125" bestFit="1" customWidth="1"/>
    <col min="7" max="7" width="14.5" bestFit="1" customWidth="1"/>
    <col min="8" max="8" width="17.33203125" bestFit="1" customWidth="1"/>
    <col min="9" max="9" width="25.1640625" bestFit="1" customWidth="1"/>
    <col min="10" max="10" width="9.6640625" bestFit="1" customWidth="1"/>
    <col min="11" max="11" width="15" bestFit="1" customWidth="1"/>
    <col min="12" max="13" width="12.1640625" bestFit="1" customWidth="1"/>
    <col min="14" max="14" width="10" bestFit="1" customWidth="1"/>
    <col min="15" max="15" width="20.33203125" bestFit="1" customWidth="1"/>
    <col min="16" max="16" width="18.5" bestFit="1" customWidth="1"/>
    <col min="17" max="17" width="25.1640625" bestFit="1" customWidth="1"/>
    <col min="18" max="18" width="16" bestFit="1" customWidth="1"/>
    <col min="19" max="19" width="13" bestFit="1" customWidth="1"/>
    <col min="20" max="20" width="7.6640625" bestFit="1" customWidth="1"/>
  </cols>
  <sheetData>
    <row r="1" spans="1:20" x14ac:dyDescent="0.2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  <c r="T1" t="s">
        <v>189</v>
      </c>
    </row>
    <row r="2" spans="1:20" x14ac:dyDescent="0.2">
      <c r="A2" t="s">
        <v>190</v>
      </c>
      <c r="B2" t="s">
        <v>191</v>
      </c>
      <c r="C2">
        <v>1</v>
      </c>
      <c r="D2">
        <v>0</v>
      </c>
      <c r="E2" t="s">
        <v>192</v>
      </c>
      <c r="F2" t="s">
        <v>193</v>
      </c>
      <c r="G2" t="s">
        <v>194</v>
      </c>
      <c r="H2">
        <v>700</v>
      </c>
      <c r="I2" t="s">
        <v>195</v>
      </c>
      <c r="J2">
        <v>10861</v>
      </c>
      <c r="K2" t="s">
        <v>196</v>
      </c>
      <c r="L2">
        <v>194.2675833333</v>
      </c>
      <c r="M2">
        <v>27.526250000000001</v>
      </c>
      <c r="N2">
        <v>55</v>
      </c>
      <c r="O2">
        <v>8045.2183000000005</v>
      </c>
      <c r="P2" t="s">
        <v>197</v>
      </c>
      <c r="Q2" t="s">
        <v>198</v>
      </c>
      <c r="R2" t="s">
        <v>190</v>
      </c>
    </row>
    <row r="3" spans="1:20" x14ac:dyDescent="0.2">
      <c r="A3" t="s">
        <v>204</v>
      </c>
      <c r="B3" t="s">
        <v>191</v>
      </c>
      <c r="C3">
        <v>1</v>
      </c>
      <c r="D3">
        <v>0</v>
      </c>
      <c r="E3" t="s">
        <v>192</v>
      </c>
      <c r="F3" t="s">
        <v>193</v>
      </c>
      <c r="G3" t="s">
        <v>194</v>
      </c>
      <c r="H3">
        <v>1400</v>
      </c>
      <c r="I3" t="s">
        <v>205</v>
      </c>
      <c r="J3">
        <v>10861</v>
      </c>
      <c r="K3" t="s">
        <v>196</v>
      </c>
      <c r="L3">
        <v>194.2675833333</v>
      </c>
      <c r="M3">
        <v>27.526250000000001</v>
      </c>
      <c r="N3">
        <v>55</v>
      </c>
      <c r="O3">
        <v>8045.2466000000004</v>
      </c>
      <c r="P3" t="s">
        <v>206</v>
      </c>
      <c r="Q3" t="s">
        <v>207</v>
      </c>
      <c r="R3" t="s">
        <v>204</v>
      </c>
      <c r="T3">
        <v>9</v>
      </c>
    </row>
    <row r="4" spans="1:20" x14ac:dyDescent="0.2">
      <c r="A4" t="s">
        <v>212</v>
      </c>
      <c r="B4" t="s">
        <v>213</v>
      </c>
      <c r="C4">
        <v>1</v>
      </c>
      <c r="D4">
        <v>0</v>
      </c>
      <c r="E4" t="s">
        <v>192</v>
      </c>
      <c r="F4" t="s">
        <v>193</v>
      </c>
      <c r="G4" t="s">
        <v>194</v>
      </c>
      <c r="H4">
        <v>1400</v>
      </c>
      <c r="I4" t="s">
        <v>214</v>
      </c>
      <c r="J4">
        <v>10861</v>
      </c>
      <c r="K4" t="s">
        <v>196</v>
      </c>
      <c r="L4">
        <v>194.62979166669999</v>
      </c>
      <c r="M4">
        <v>27.199583333330001</v>
      </c>
      <c r="N4">
        <v>55</v>
      </c>
      <c r="O4">
        <v>8045.2446</v>
      </c>
      <c r="P4" t="s">
        <v>215</v>
      </c>
      <c r="Q4" t="s">
        <v>216</v>
      </c>
      <c r="R4" t="s">
        <v>212</v>
      </c>
      <c r="T4">
        <v>9</v>
      </c>
    </row>
    <row r="5" spans="1:20" x14ac:dyDescent="0.2">
      <c r="A5" t="s">
        <v>221</v>
      </c>
      <c r="B5" t="s">
        <v>222</v>
      </c>
      <c r="C5">
        <v>1</v>
      </c>
      <c r="D5">
        <v>0</v>
      </c>
      <c r="E5" t="s">
        <v>192</v>
      </c>
      <c r="F5" t="s">
        <v>193</v>
      </c>
      <c r="G5" t="s">
        <v>194</v>
      </c>
      <c r="H5">
        <v>1400</v>
      </c>
      <c r="I5" t="s">
        <v>223</v>
      </c>
      <c r="J5">
        <v>10861</v>
      </c>
      <c r="K5" t="s">
        <v>196</v>
      </c>
      <c r="L5">
        <v>194.12416666670001</v>
      </c>
      <c r="M5">
        <v>27.22578055556</v>
      </c>
      <c r="N5">
        <v>55</v>
      </c>
      <c r="O5">
        <v>8045.2479999999996</v>
      </c>
      <c r="P5" t="s">
        <v>224</v>
      </c>
      <c r="Q5" t="s">
        <v>225</v>
      </c>
      <c r="R5" t="s">
        <v>221</v>
      </c>
      <c r="T5">
        <v>9</v>
      </c>
    </row>
    <row r="6" spans="1:20" x14ac:dyDescent="0.2">
      <c r="A6" t="s">
        <v>230</v>
      </c>
      <c r="B6" t="s">
        <v>231</v>
      </c>
      <c r="C6">
        <v>1</v>
      </c>
      <c r="D6">
        <v>0</v>
      </c>
      <c r="E6" t="s">
        <v>192</v>
      </c>
      <c r="F6" t="s">
        <v>193</v>
      </c>
      <c r="G6" t="s">
        <v>194</v>
      </c>
      <c r="H6">
        <v>1400</v>
      </c>
      <c r="I6" t="s">
        <v>232</v>
      </c>
      <c r="J6">
        <v>10861</v>
      </c>
      <c r="K6" t="s">
        <v>196</v>
      </c>
      <c r="L6">
        <v>194.58991666669999</v>
      </c>
      <c r="M6">
        <v>27.461305555559999</v>
      </c>
      <c r="N6">
        <v>55</v>
      </c>
      <c r="O6">
        <v>8045.2051000000001</v>
      </c>
      <c r="P6" t="s">
        <v>233</v>
      </c>
      <c r="Q6" t="s">
        <v>234</v>
      </c>
      <c r="R6" t="s">
        <v>230</v>
      </c>
      <c r="T6">
        <v>9</v>
      </c>
    </row>
    <row r="7" spans="1:20" x14ac:dyDescent="0.2">
      <c r="A7" t="s">
        <v>239</v>
      </c>
      <c r="B7" t="s">
        <v>240</v>
      </c>
      <c r="C7">
        <v>1</v>
      </c>
      <c r="D7">
        <v>0</v>
      </c>
      <c r="E7" t="s">
        <v>192</v>
      </c>
      <c r="F7" t="s">
        <v>193</v>
      </c>
      <c r="G7" t="s">
        <v>194</v>
      </c>
      <c r="H7">
        <v>1400</v>
      </c>
      <c r="I7" t="s">
        <v>241</v>
      </c>
      <c r="J7">
        <v>10861</v>
      </c>
      <c r="K7" t="s">
        <v>196</v>
      </c>
      <c r="L7">
        <v>194.29499999999999</v>
      </c>
      <c r="M7">
        <v>27.405000000000001</v>
      </c>
      <c r="N7">
        <v>55</v>
      </c>
      <c r="O7">
        <v>8045.2094999999999</v>
      </c>
      <c r="P7" t="s">
        <v>242</v>
      </c>
      <c r="Q7" t="s">
        <v>243</v>
      </c>
      <c r="R7" t="s">
        <v>239</v>
      </c>
      <c r="T7">
        <v>9</v>
      </c>
    </row>
    <row r="8" spans="1:20" x14ac:dyDescent="0.2">
      <c r="A8" t="s">
        <v>248</v>
      </c>
      <c r="B8" t="s">
        <v>249</v>
      </c>
      <c r="C8">
        <v>1</v>
      </c>
      <c r="D8">
        <v>0</v>
      </c>
      <c r="E8" t="s">
        <v>192</v>
      </c>
      <c r="F8" t="s">
        <v>193</v>
      </c>
      <c r="G8" t="s">
        <v>194</v>
      </c>
      <c r="H8">
        <v>1400</v>
      </c>
      <c r="I8" t="s">
        <v>250</v>
      </c>
      <c r="J8">
        <v>10861</v>
      </c>
      <c r="K8" t="s">
        <v>196</v>
      </c>
      <c r="L8">
        <v>194.64166666669999</v>
      </c>
      <c r="M8">
        <v>27.382999999999999</v>
      </c>
      <c r="N8">
        <v>55</v>
      </c>
      <c r="O8">
        <v>8045.2453500000001</v>
      </c>
      <c r="P8" t="s">
        <v>251</v>
      </c>
      <c r="Q8" t="s">
        <v>252</v>
      </c>
      <c r="R8" t="s">
        <v>248</v>
      </c>
      <c r="T8">
        <v>9</v>
      </c>
    </row>
    <row r="9" spans="1:20" x14ac:dyDescent="0.2">
      <c r="A9" t="s">
        <v>257</v>
      </c>
      <c r="B9" t="s">
        <v>258</v>
      </c>
      <c r="C9">
        <v>1</v>
      </c>
      <c r="D9">
        <v>0</v>
      </c>
      <c r="E9" t="s">
        <v>192</v>
      </c>
      <c r="F9" t="s">
        <v>193</v>
      </c>
      <c r="G9" t="s">
        <v>194</v>
      </c>
      <c r="H9">
        <v>1400</v>
      </c>
      <c r="I9" t="s">
        <v>259</v>
      </c>
      <c r="J9">
        <v>10861</v>
      </c>
      <c r="K9" t="s">
        <v>196</v>
      </c>
      <c r="L9">
        <v>195.19125</v>
      </c>
      <c r="M9">
        <v>28.081666666669999</v>
      </c>
      <c r="N9">
        <v>55</v>
      </c>
      <c r="O9">
        <v>8045.2397000000001</v>
      </c>
      <c r="P9" t="s">
        <v>260</v>
      </c>
      <c r="Q9" t="s">
        <v>261</v>
      </c>
      <c r="R9" t="s">
        <v>257</v>
      </c>
      <c r="T9">
        <v>9</v>
      </c>
    </row>
    <row r="10" spans="1:20" x14ac:dyDescent="0.2">
      <c r="A10" t="s">
        <v>266</v>
      </c>
      <c r="B10" t="s">
        <v>267</v>
      </c>
      <c r="C10">
        <v>1</v>
      </c>
      <c r="D10">
        <v>0</v>
      </c>
      <c r="E10" t="s">
        <v>192</v>
      </c>
      <c r="F10" t="s">
        <v>193</v>
      </c>
      <c r="G10" t="s">
        <v>194</v>
      </c>
      <c r="H10">
        <v>1400</v>
      </c>
      <c r="I10" t="s">
        <v>268</v>
      </c>
      <c r="J10">
        <v>10861</v>
      </c>
      <c r="K10" t="s">
        <v>196</v>
      </c>
      <c r="L10">
        <v>195.12625</v>
      </c>
      <c r="M10">
        <v>28.081666666669999</v>
      </c>
      <c r="N10">
        <v>55</v>
      </c>
      <c r="O10">
        <v>8045.2393000000002</v>
      </c>
      <c r="P10" t="s">
        <v>269</v>
      </c>
      <c r="Q10" t="s">
        <v>270</v>
      </c>
      <c r="R10" t="s">
        <v>266</v>
      </c>
      <c r="T10">
        <v>9</v>
      </c>
    </row>
    <row r="11" spans="1:20" x14ac:dyDescent="0.2">
      <c r="A11" t="s">
        <v>275</v>
      </c>
      <c r="B11" t="s">
        <v>276</v>
      </c>
      <c r="C11">
        <v>1</v>
      </c>
      <c r="D11">
        <v>0</v>
      </c>
      <c r="E11" t="s">
        <v>192</v>
      </c>
      <c r="F11" t="s">
        <v>193</v>
      </c>
      <c r="G11" t="s">
        <v>194</v>
      </c>
      <c r="H11">
        <v>700</v>
      </c>
      <c r="I11" t="s">
        <v>277</v>
      </c>
      <c r="J11">
        <v>10861</v>
      </c>
      <c r="K11" t="s">
        <v>196</v>
      </c>
      <c r="L11">
        <v>195.0612901026</v>
      </c>
      <c r="M11">
        <v>28.08172356243</v>
      </c>
      <c r="N11">
        <v>55</v>
      </c>
      <c r="O11">
        <v>8045.2473499999996</v>
      </c>
      <c r="P11" t="s">
        <v>278</v>
      </c>
      <c r="Q11" t="s">
        <v>279</v>
      </c>
      <c r="R11" t="s">
        <v>275</v>
      </c>
      <c r="T11">
        <v>9</v>
      </c>
    </row>
    <row r="12" spans="1:20" x14ac:dyDescent="0.2">
      <c r="A12" t="s">
        <v>284</v>
      </c>
      <c r="B12" t="s">
        <v>285</v>
      </c>
      <c r="C12">
        <v>0</v>
      </c>
      <c r="D12">
        <v>0</v>
      </c>
      <c r="E12" t="s">
        <v>192</v>
      </c>
      <c r="F12" t="s">
        <v>193</v>
      </c>
      <c r="G12" t="s">
        <v>194</v>
      </c>
      <c r="H12">
        <v>0</v>
      </c>
      <c r="I12" t="s">
        <v>286</v>
      </c>
      <c r="J12">
        <v>10861</v>
      </c>
      <c r="K12" t="s">
        <v>196</v>
      </c>
      <c r="L12">
        <v>194.93125000000001</v>
      </c>
      <c r="M12">
        <v>28.081666666669999</v>
      </c>
      <c r="N12">
        <v>55</v>
      </c>
      <c r="O12">
        <v>8045.2397000000001</v>
      </c>
      <c r="P12" t="s">
        <v>287</v>
      </c>
      <c r="Q12" t="s">
        <v>288</v>
      </c>
      <c r="R12" t="s">
        <v>284</v>
      </c>
    </row>
    <row r="13" spans="1:20" x14ac:dyDescent="0.2">
      <c r="A13" t="s">
        <v>293</v>
      </c>
      <c r="B13" t="s">
        <v>294</v>
      </c>
      <c r="C13">
        <v>0</v>
      </c>
      <c r="D13">
        <v>0</v>
      </c>
      <c r="E13" t="s">
        <v>192</v>
      </c>
      <c r="F13" t="s">
        <v>193</v>
      </c>
      <c r="G13" t="s">
        <v>194</v>
      </c>
      <c r="H13">
        <v>0</v>
      </c>
      <c r="I13" t="s">
        <v>295</v>
      </c>
      <c r="J13">
        <v>10861</v>
      </c>
      <c r="K13" t="s">
        <v>196</v>
      </c>
      <c r="L13">
        <v>194.80125000000001</v>
      </c>
      <c r="M13">
        <v>28.081666666669999</v>
      </c>
      <c r="N13">
        <v>55</v>
      </c>
      <c r="O13">
        <v>8045.2412000000004</v>
      </c>
      <c r="P13" t="s">
        <v>296</v>
      </c>
      <c r="Q13" t="s">
        <v>297</v>
      </c>
      <c r="R13" t="s">
        <v>293</v>
      </c>
    </row>
    <row r="14" spans="1:20" x14ac:dyDescent="0.2">
      <c r="A14" t="s">
        <v>302</v>
      </c>
      <c r="B14" t="s">
        <v>303</v>
      </c>
      <c r="C14">
        <v>1</v>
      </c>
      <c r="D14">
        <v>0</v>
      </c>
      <c r="E14" t="s">
        <v>192</v>
      </c>
      <c r="F14" t="s">
        <v>193</v>
      </c>
      <c r="G14" t="s">
        <v>194</v>
      </c>
      <c r="H14">
        <v>1400</v>
      </c>
      <c r="I14" t="s">
        <v>304</v>
      </c>
      <c r="J14">
        <v>10861</v>
      </c>
      <c r="K14" t="s">
        <v>196</v>
      </c>
      <c r="L14">
        <v>195.17625000000001</v>
      </c>
      <c r="M14">
        <v>28.028611111109999</v>
      </c>
      <c r="N14">
        <v>55</v>
      </c>
      <c r="O14">
        <v>8045.2416999999996</v>
      </c>
      <c r="P14" t="s">
        <v>305</v>
      </c>
      <c r="Q14" t="s">
        <v>306</v>
      </c>
      <c r="R14" t="s">
        <v>302</v>
      </c>
      <c r="T14">
        <v>9</v>
      </c>
    </row>
    <row r="15" spans="1:20" x14ac:dyDescent="0.2">
      <c r="A15" t="s">
        <v>311</v>
      </c>
      <c r="B15" t="s">
        <v>312</v>
      </c>
      <c r="C15">
        <v>1</v>
      </c>
      <c r="D15">
        <v>0</v>
      </c>
      <c r="E15" t="s">
        <v>192</v>
      </c>
      <c r="F15" t="s">
        <v>193</v>
      </c>
      <c r="G15" t="s">
        <v>194</v>
      </c>
      <c r="H15">
        <v>1400</v>
      </c>
      <c r="I15" t="s">
        <v>313</v>
      </c>
      <c r="J15">
        <v>10861</v>
      </c>
      <c r="K15" t="s">
        <v>196</v>
      </c>
      <c r="L15">
        <v>195.11125000000001</v>
      </c>
      <c r="M15">
        <v>28.028611111109999</v>
      </c>
      <c r="N15">
        <v>55</v>
      </c>
      <c r="O15">
        <v>8045.2426999999998</v>
      </c>
      <c r="P15" t="s">
        <v>314</v>
      </c>
      <c r="Q15" t="s">
        <v>315</v>
      </c>
      <c r="R15" t="s">
        <v>311</v>
      </c>
      <c r="T15">
        <v>9</v>
      </c>
    </row>
    <row r="16" spans="1:20" x14ac:dyDescent="0.2">
      <c r="A16" t="s">
        <v>320</v>
      </c>
      <c r="B16" t="s">
        <v>321</v>
      </c>
      <c r="C16">
        <v>1</v>
      </c>
      <c r="D16">
        <v>0</v>
      </c>
      <c r="E16" t="s">
        <v>192</v>
      </c>
      <c r="F16" t="s">
        <v>193</v>
      </c>
      <c r="G16" t="s">
        <v>194</v>
      </c>
      <c r="H16">
        <v>1400</v>
      </c>
      <c r="I16" t="s">
        <v>322</v>
      </c>
      <c r="J16">
        <v>10861</v>
      </c>
      <c r="K16" t="s">
        <v>196</v>
      </c>
      <c r="L16">
        <v>195.04624999999999</v>
      </c>
      <c r="M16">
        <v>28.028611111109999</v>
      </c>
      <c r="N16">
        <v>55</v>
      </c>
      <c r="O16">
        <v>8045.2426999999998</v>
      </c>
      <c r="P16" t="s">
        <v>323</v>
      </c>
      <c r="Q16" t="s">
        <v>324</v>
      </c>
      <c r="R16" t="s">
        <v>320</v>
      </c>
      <c r="T16">
        <v>9</v>
      </c>
    </row>
    <row r="17" spans="1:20" x14ac:dyDescent="0.2">
      <c r="A17" t="s">
        <v>329</v>
      </c>
      <c r="B17" t="s">
        <v>330</v>
      </c>
      <c r="C17">
        <v>0</v>
      </c>
      <c r="D17">
        <v>0</v>
      </c>
      <c r="E17" t="s">
        <v>192</v>
      </c>
      <c r="F17" t="s">
        <v>193</v>
      </c>
      <c r="G17" t="s">
        <v>194</v>
      </c>
      <c r="H17">
        <v>0</v>
      </c>
      <c r="I17" t="s">
        <v>331</v>
      </c>
      <c r="J17">
        <v>10861</v>
      </c>
      <c r="K17" t="s">
        <v>196</v>
      </c>
      <c r="L17">
        <v>194.98124999999999</v>
      </c>
      <c r="M17">
        <v>28.028611111109999</v>
      </c>
      <c r="N17">
        <v>55</v>
      </c>
      <c r="O17">
        <v>8045.2431999999999</v>
      </c>
      <c r="P17" t="s">
        <v>332</v>
      </c>
      <c r="Q17" t="s">
        <v>333</v>
      </c>
      <c r="R17" t="s">
        <v>329</v>
      </c>
    </row>
    <row r="18" spans="1:20" x14ac:dyDescent="0.2">
      <c r="A18" t="s">
        <v>338</v>
      </c>
      <c r="B18" t="s">
        <v>339</v>
      </c>
      <c r="C18">
        <v>1</v>
      </c>
      <c r="D18">
        <v>0</v>
      </c>
      <c r="E18" t="s">
        <v>192</v>
      </c>
      <c r="F18" t="s">
        <v>193</v>
      </c>
      <c r="G18" t="s">
        <v>194</v>
      </c>
      <c r="H18">
        <v>1050</v>
      </c>
      <c r="I18" t="s">
        <v>340</v>
      </c>
      <c r="J18">
        <v>10861</v>
      </c>
      <c r="K18" t="s">
        <v>196</v>
      </c>
      <c r="L18">
        <v>194.91624999999999</v>
      </c>
      <c r="M18">
        <v>28.028611111109999</v>
      </c>
      <c r="N18">
        <v>55</v>
      </c>
      <c r="O18">
        <v>8045.2418666666599</v>
      </c>
      <c r="P18" t="s">
        <v>341</v>
      </c>
      <c r="Q18" t="s">
        <v>342</v>
      </c>
      <c r="R18" t="s">
        <v>338</v>
      </c>
      <c r="T18">
        <v>9</v>
      </c>
    </row>
    <row r="19" spans="1:20" x14ac:dyDescent="0.2">
      <c r="A19" t="s">
        <v>347</v>
      </c>
      <c r="B19" t="s">
        <v>348</v>
      </c>
      <c r="C19">
        <v>1</v>
      </c>
      <c r="D19">
        <v>0</v>
      </c>
      <c r="E19" t="s">
        <v>192</v>
      </c>
      <c r="F19" t="s">
        <v>193</v>
      </c>
      <c r="G19" t="s">
        <v>194</v>
      </c>
      <c r="H19">
        <v>700</v>
      </c>
      <c r="I19" t="s">
        <v>349</v>
      </c>
      <c r="J19">
        <v>10861</v>
      </c>
      <c r="K19" t="s">
        <v>196</v>
      </c>
      <c r="L19">
        <v>194.8521941523</v>
      </c>
      <c r="M19">
        <v>28.0285406524</v>
      </c>
      <c r="N19">
        <v>55</v>
      </c>
      <c r="O19">
        <v>8045.2421999999997</v>
      </c>
      <c r="P19" t="s">
        <v>350</v>
      </c>
      <c r="Q19" t="s">
        <v>351</v>
      </c>
      <c r="R19" t="s">
        <v>347</v>
      </c>
      <c r="T19">
        <v>9</v>
      </c>
    </row>
    <row r="20" spans="1:20" x14ac:dyDescent="0.2">
      <c r="A20" t="s">
        <v>356</v>
      </c>
      <c r="B20" t="s">
        <v>357</v>
      </c>
      <c r="C20">
        <v>1</v>
      </c>
      <c r="D20">
        <v>0</v>
      </c>
      <c r="E20" t="s">
        <v>192</v>
      </c>
      <c r="F20" t="s">
        <v>193</v>
      </c>
      <c r="G20" t="s">
        <v>194</v>
      </c>
      <c r="H20">
        <v>1050</v>
      </c>
      <c r="I20" t="s">
        <v>358</v>
      </c>
      <c r="J20">
        <v>10861</v>
      </c>
      <c r="K20" t="s">
        <v>196</v>
      </c>
      <c r="L20">
        <v>194.78625</v>
      </c>
      <c r="M20">
        <v>28.028611111109999</v>
      </c>
      <c r="N20">
        <v>55</v>
      </c>
      <c r="O20">
        <v>8045.2386333333297</v>
      </c>
      <c r="P20" t="s">
        <v>359</v>
      </c>
      <c r="Q20" t="s">
        <v>360</v>
      </c>
      <c r="R20" t="s">
        <v>356</v>
      </c>
      <c r="T20">
        <v>9</v>
      </c>
    </row>
    <row r="21" spans="1:20" x14ac:dyDescent="0.2">
      <c r="A21" t="s">
        <v>365</v>
      </c>
      <c r="B21" t="s">
        <v>366</v>
      </c>
      <c r="C21">
        <v>1</v>
      </c>
      <c r="D21">
        <v>0</v>
      </c>
      <c r="E21" t="s">
        <v>192</v>
      </c>
      <c r="F21" t="s">
        <v>193</v>
      </c>
      <c r="G21" t="s">
        <v>194</v>
      </c>
      <c r="H21">
        <v>1400</v>
      </c>
      <c r="I21" t="s">
        <v>367</v>
      </c>
      <c r="J21">
        <v>10861</v>
      </c>
      <c r="K21" t="s">
        <v>196</v>
      </c>
      <c r="L21">
        <v>195.16125</v>
      </c>
      <c r="M21">
        <v>27.97555555556</v>
      </c>
      <c r="N21">
        <v>55</v>
      </c>
      <c r="O21">
        <v>8045.2515000000003</v>
      </c>
      <c r="P21" t="s">
        <v>368</v>
      </c>
      <c r="Q21" t="s">
        <v>369</v>
      </c>
      <c r="R21" t="s">
        <v>365</v>
      </c>
      <c r="T21">
        <v>9</v>
      </c>
    </row>
    <row r="22" spans="1:20" x14ac:dyDescent="0.2">
      <c r="A22" t="s">
        <v>374</v>
      </c>
      <c r="B22" t="s">
        <v>375</v>
      </c>
      <c r="C22">
        <v>1</v>
      </c>
      <c r="D22">
        <v>0</v>
      </c>
      <c r="E22" t="s">
        <v>192</v>
      </c>
      <c r="F22" t="s">
        <v>193</v>
      </c>
      <c r="G22" t="s">
        <v>194</v>
      </c>
      <c r="H22">
        <v>1400</v>
      </c>
      <c r="I22" t="s">
        <v>376</v>
      </c>
      <c r="J22">
        <v>10861</v>
      </c>
      <c r="K22" t="s">
        <v>196</v>
      </c>
      <c r="L22">
        <v>195.09625</v>
      </c>
      <c r="M22">
        <v>27.97555555556</v>
      </c>
      <c r="N22">
        <v>55</v>
      </c>
      <c r="O22">
        <v>8045.2506249999997</v>
      </c>
      <c r="P22" t="s">
        <v>377</v>
      </c>
      <c r="Q22" t="s">
        <v>378</v>
      </c>
      <c r="R22" t="s">
        <v>374</v>
      </c>
      <c r="T22">
        <v>9</v>
      </c>
    </row>
    <row r="23" spans="1:20" x14ac:dyDescent="0.2">
      <c r="A23" t="s">
        <v>383</v>
      </c>
      <c r="B23" t="s">
        <v>384</v>
      </c>
      <c r="C23">
        <v>1</v>
      </c>
      <c r="D23">
        <v>0</v>
      </c>
      <c r="E23" t="s">
        <v>192</v>
      </c>
      <c r="F23" t="s">
        <v>193</v>
      </c>
      <c r="G23" t="s">
        <v>194</v>
      </c>
      <c r="H23">
        <v>1400</v>
      </c>
      <c r="I23" t="s">
        <v>385</v>
      </c>
      <c r="J23">
        <v>10861</v>
      </c>
      <c r="K23" t="s">
        <v>196</v>
      </c>
      <c r="L23">
        <v>194.96625</v>
      </c>
      <c r="M23">
        <v>27.97555555556</v>
      </c>
      <c r="N23">
        <v>55</v>
      </c>
      <c r="O23">
        <v>8045.2510000000002</v>
      </c>
      <c r="P23" t="s">
        <v>386</v>
      </c>
      <c r="Q23" t="s">
        <v>387</v>
      </c>
      <c r="R23" t="s">
        <v>383</v>
      </c>
      <c r="T23">
        <v>9</v>
      </c>
    </row>
    <row r="24" spans="1:20" x14ac:dyDescent="0.2">
      <c r="A24" t="s">
        <v>392</v>
      </c>
      <c r="B24" t="s">
        <v>393</v>
      </c>
      <c r="C24">
        <v>1</v>
      </c>
      <c r="D24">
        <v>0</v>
      </c>
      <c r="E24" t="s">
        <v>192</v>
      </c>
      <c r="F24" t="s">
        <v>193</v>
      </c>
      <c r="G24" t="s">
        <v>194</v>
      </c>
      <c r="H24">
        <v>1400</v>
      </c>
      <c r="I24" t="s">
        <v>394</v>
      </c>
      <c r="J24">
        <v>10861</v>
      </c>
      <c r="K24" t="s">
        <v>196</v>
      </c>
      <c r="L24">
        <v>194.90125</v>
      </c>
      <c r="M24">
        <v>27.97555555556</v>
      </c>
      <c r="N24">
        <v>55</v>
      </c>
      <c r="O24">
        <v>8045.2510000000002</v>
      </c>
      <c r="P24" t="s">
        <v>395</v>
      </c>
      <c r="Q24" t="s">
        <v>396</v>
      </c>
      <c r="R24" t="s">
        <v>392</v>
      </c>
      <c r="T24">
        <v>9</v>
      </c>
    </row>
    <row r="25" spans="1:20" x14ac:dyDescent="0.2">
      <c r="A25" t="s">
        <v>401</v>
      </c>
      <c r="B25" t="s">
        <v>402</v>
      </c>
      <c r="C25">
        <v>1</v>
      </c>
      <c r="D25">
        <v>0</v>
      </c>
      <c r="E25" t="s">
        <v>192</v>
      </c>
      <c r="F25" t="s">
        <v>193</v>
      </c>
      <c r="G25" t="s">
        <v>194</v>
      </c>
      <c r="H25">
        <v>700</v>
      </c>
      <c r="I25" t="s">
        <v>403</v>
      </c>
      <c r="J25">
        <v>10861</v>
      </c>
      <c r="K25" t="s">
        <v>196</v>
      </c>
      <c r="L25">
        <v>195.14625000000001</v>
      </c>
      <c r="M25">
        <v>27.922499999999999</v>
      </c>
      <c r="N25">
        <v>55</v>
      </c>
      <c r="O25">
        <v>8045.2484999999997</v>
      </c>
      <c r="P25" t="s">
        <v>404</v>
      </c>
      <c r="Q25" t="s">
        <v>405</v>
      </c>
      <c r="R25" t="s">
        <v>401</v>
      </c>
    </row>
    <row r="26" spans="1:20" x14ac:dyDescent="0.2">
      <c r="A26" t="s">
        <v>410</v>
      </c>
      <c r="B26" t="s">
        <v>402</v>
      </c>
      <c r="C26">
        <v>1</v>
      </c>
      <c r="D26">
        <v>0</v>
      </c>
      <c r="E26" t="s">
        <v>192</v>
      </c>
      <c r="F26" t="s">
        <v>193</v>
      </c>
      <c r="G26" t="s">
        <v>194</v>
      </c>
      <c r="H26">
        <v>700</v>
      </c>
      <c r="I26" t="s">
        <v>411</v>
      </c>
      <c r="J26">
        <v>10861</v>
      </c>
      <c r="K26" t="s">
        <v>196</v>
      </c>
      <c r="L26">
        <v>195.14719324960001</v>
      </c>
      <c r="M26">
        <v>27.922429322300001</v>
      </c>
      <c r="N26">
        <v>55</v>
      </c>
      <c r="O26">
        <v>8045.2489999999998</v>
      </c>
      <c r="P26" t="s">
        <v>412</v>
      </c>
      <c r="Q26" t="s">
        <v>413</v>
      </c>
      <c r="R26" t="s">
        <v>410</v>
      </c>
      <c r="T26">
        <v>9</v>
      </c>
    </row>
    <row r="27" spans="1:20" x14ac:dyDescent="0.2">
      <c r="A27" t="s">
        <v>418</v>
      </c>
      <c r="B27" t="s">
        <v>419</v>
      </c>
      <c r="C27">
        <v>1</v>
      </c>
      <c r="D27">
        <v>0</v>
      </c>
      <c r="E27" t="s">
        <v>192</v>
      </c>
      <c r="F27" t="s">
        <v>193</v>
      </c>
      <c r="G27" t="s">
        <v>194</v>
      </c>
      <c r="H27">
        <v>1400</v>
      </c>
      <c r="I27" t="s">
        <v>420</v>
      </c>
      <c r="J27">
        <v>10861</v>
      </c>
      <c r="K27" t="s">
        <v>196</v>
      </c>
      <c r="L27">
        <v>195.08125000000001</v>
      </c>
      <c r="M27">
        <v>27.922499999999999</v>
      </c>
      <c r="N27">
        <v>55</v>
      </c>
      <c r="O27">
        <v>8045.2520000000004</v>
      </c>
      <c r="P27" t="s">
        <v>421</v>
      </c>
      <c r="Q27" t="s">
        <v>422</v>
      </c>
      <c r="R27" t="s">
        <v>418</v>
      </c>
      <c r="T27">
        <v>9</v>
      </c>
    </row>
    <row r="28" spans="1:20" x14ac:dyDescent="0.2">
      <c r="A28" t="s">
        <v>427</v>
      </c>
      <c r="B28" t="s">
        <v>428</v>
      </c>
      <c r="C28">
        <v>0</v>
      </c>
      <c r="D28">
        <v>0</v>
      </c>
      <c r="E28" t="s">
        <v>192</v>
      </c>
      <c r="F28" t="s">
        <v>193</v>
      </c>
      <c r="G28" t="s">
        <v>194</v>
      </c>
      <c r="H28">
        <v>350</v>
      </c>
      <c r="I28" t="s">
        <v>429</v>
      </c>
      <c r="J28">
        <v>10861</v>
      </c>
      <c r="K28" t="s">
        <v>196</v>
      </c>
      <c r="L28">
        <v>195.01625000000001</v>
      </c>
      <c r="M28">
        <v>27.922499999999999</v>
      </c>
      <c r="N28">
        <v>55</v>
      </c>
      <c r="O28">
        <v>8045.25</v>
      </c>
      <c r="P28" t="s">
        <v>430</v>
      </c>
      <c r="Q28" t="s">
        <v>431</v>
      </c>
      <c r="R28" t="s">
        <v>427</v>
      </c>
    </row>
    <row r="29" spans="1:20" x14ac:dyDescent="0.2">
      <c r="A29" t="s">
        <v>436</v>
      </c>
      <c r="B29" t="s">
        <v>428</v>
      </c>
      <c r="C29">
        <v>0</v>
      </c>
      <c r="D29">
        <v>0</v>
      </c>
      <c r="E29" t="s">
        <v>192</v>
      </c>
      <c r="F29" t="s">
        <v>193</v>
      </c>
      <c r="G29" t="s">
        <v>194</v>
      </c>
      <c r="H29">
        <v>350</v>
      </c>
      <c r="I29" t="s">
        <v>437</v>
      </c>
      <c r="J29">
        <v>10861</v>
      </c>
      <c r="K29" t="s">
        <v>196</v>
      </c>
      <c r="L29">
        <v>195.01629010330001</v>
      </c>
      <c r="M29">
        <v>27.922556570809999</v>
      </c>
      <c r="N29">
        <v>55</v>
      </c>
      <c r="O29">
        <v>8045.25</v>
      </c>
      <c r="P29" t="s">
        <v>438</v>
      </c>
      <c r="Q29" t="s">
        <v>439</v>
      </c>
      <c r="R29" t="s">
        <v>436</v>
      </c>
    </row>
    <row r="30" spans="1:20" x14ac:dyDescent="0.2">
      <c r="A30" t="s">
        <v>444</v>
      </c>
      <c r="B30" t="s">
        <v>428</v>
      </c>
      <c r="C30">
        <v>1</v>
      </c>
      <c r="D30">
        <v>0</v>
      </c>
      <c r="E30" t="s">
        <v>192</v>
      </c>
      <c r="F30" t="s">
        <v>193</v>
      </c>
      <c r="G30" t="s">
        <v>194</v>
      </c>
      <c r="H30">
        <v>700</v>
      </c>
      <c r="I30" t="s">
        <v>445</v>
      </c>
      <c r="J30">
        <v>10861</v>
      </c>
      <c r="K30" t="s">
        <v>196</v>
      </c>
      <c r="L30">
        <v>195.01719324960001</v>
      </c>
      <c r="M30">
        <v>27.922429322300001</v>
      </c>
      <c r="N30">
        <v>55</v>
      </c>
      <c r="O30">
        <v>8045.25</v>
      </c>
      <c r="P30" t="s">
        <v>446</v>
      </c>
      <c r="Q30" t="s">
        <v>447</v>
      </c>
      <c r="R30" t="s">
        <v>444</v>
      </c>
      <c r="T30">
        <v>9</v>
      </c>
    </row>
    <row r="31" spans="1:20" x14ac:dyDescent="0.2">
      <c r="A31" t="s">
        <v>452</v>
      </c>
      <c r="B31" t="s">
        <v>453</v>
      </c>
      <c r="C31">
        <v>1</v>
      </c>
      <c r="D31">
        <v>0</v>
      </c>
      <c r="E31" t="s">
        <v>192</v>
      </c>
      <c r="F31" t="s">
        <v>193</v>
      </c>
      <c r="G31" t="s">
        <v>194</v>
      </c>
      <c r="H31">
        <v>700</v>
      </c>
      <c r="I31" t="s">
        <v>454</v>
      </c>
      <c r="J31">
        <v>10861</v>
      </c>
      <c r="K31" t="s">
        <v>196</v>
      </c>
      <c r="L31">
        <v>194.95124999999999</v>
      </c>
      <c r="M31">
        <v>27.922499999999999</v>
      </c>
      <c r="N31">
        <v>55</v>
      </c>
      <c r="O31">
        <v>8045.25</v>
      </c>
      <c r="P31" t="s">
        <v>455</v>
      </c>
      <c r="Q31" t="s">
        <v>456</v>
      </c>
      <c r="R31" t="s">
        <v>452</v>
      </c>
    </row>
    <row r="32" spans="1:20" x14ac:dyDescent="0.2">
      <c r="A32" t="s">
        <v>461</v>
      </c>
      <c r="B32" t="s">
        <v>453</v>
      </c>
      <c r="C32">
        <v>1</v>
      </c>
      <c r="D32">
        <v>0</v>
      </c>
      <c r="E32" t="s">
        <v>192</v>
      </c>
      <c r="F32" t="s">
        <v>193</v>
      </c>
      <c r="G32" t="s">
        <v>194</v>
      </c>
      <c r="H32">
        <v>700</v>
      </c>
      <c r="I32" t="s">
        <v>462</v>
      </c>
      <c r="J32">
        <v>10861</v>
      </c>
      <c r="K32" t="s">
        <v>196</v>
      </c>
      <c r="L32">
        <v>194.95219324959999</v>
      </c>
      <c r="M32">
        <v>27.922429322300001</v>
      </c>
      <c r="N32">
        <v>55</v>
      </c>
      <c r="O32">
        <v>8045.25</v>
      </c>
      <c r="P32" t="s">
        <v>463</v>
      </c>
      <c r="Q32" t="s">
        <v>464</v>
      </c>
      <c r="R32" t="s">
        <v>461</v>
      </c>
      <c r="T32">
        <v>9</v>
      </c>
    </row>
    <row r="33" spans="1:20" x14ac:dyDescent="0.2">
      <c r="A33" t="s">
        <v>469</v>
      </c>
      <c r="B33" t="s">
        <v>470</v>
      </c>
      <c r="C33">
        <v>1</v>
      </c>
      <c r="D33">
        <v>0</v>
      </c>
      <c r="E33" t="s">
        <v>192</v>
      </c>
      <c r="F33" t="s">
        <v>193</v>
      </c>
      <c r="G33" t="s">
        <v>194</v>
      </c>
      <c r="H33">
        <v>1400</v>
      </c>
      <c r="I33" t="s">
        <v>471</v>
      </c>
      <c r="J33">
        <v>10861</v>
      </c>
      <c r="K33" t="s">
        <v>196</v>
      </c>
      <c r="L33">
        <v>194.87125</v>
      </c>
      <c r="M33">
        <v>27.869444444439999</v>
      </c>
      <c r="N33">
        <v>55</v>
      </c>
      <c r="O33">
        <v>8045.2437</v>
      </c>
      <c r="P33" t="s">
        <v>472</v>
      </c>
      <c r="Q33" t="s">
        <v>473</v>
      </c>
      <c r="R33" t="s">
        <v>469</v>
      </c>
      <c r="T33">
        <v>9</v>
      </c>
    </row>
    <row r="34" spans="1:20" x14ac:dyDescent="0.2">
      <c r="A34" t="s">
        <v>478</v>
      </c>
      <c r="B34" t="s">
        <v>479</v>
      </c>
      <c r="C34">
        <v>0</v>
      </c>
      <c r="D34">
        <v>0</v>
      </c>
      <c r="E34" t="s">
        <v>192</v>
      </c>
      <c r="F34" t="s">
        <v>193</v>
      </c>
      <c r="G34" t="s">
        <v>194</v>
      </c>
      <c r="H34">
        <v>0</v>
      </c>
      <c r="I34" t="s">
        <v>480</v>
      </c>
      <c r="J34">
        <v>10861</v>
      </c>
      <c r="K34" t="s">
        <v>196</v>
      </c>
      <c r="L34">
        <v>194.98625000000001</v>
      </c>
      <c r="M34">
        <v>27.81638888889</v>
      </c>
      <c r="N34">
        <v>55</v>
      </c>
      <c r="O34">
        <v>8045.2440999999999</v>
      </c>
      <c r="P34" t="s">
        <v>481</v>
      </c>
      <c r="Q34" t="s">
        <v>482</v>
      </c>
      <c r="R34" t="s">
        <v>478</v>
      </c>
    </row>
    <row r="35" spans="1:20" x14ac:dyDescent="0.2">
      <c r="A35" t="s">
        <v>487</v>
      </c>
      <c r="B35" t="s">
        <v>488</v>
      </c>
      <c r="C35">
        <v>0</v>
      </c>
      <c r="D35">
        <v>0</v>
      </c>
      <c r="E35" t="s">
        <v>192</v>
      </c>
      <c r="F35" t="s">
        <v>193</v>
      </c>
      <c r="G35" t="s">
        <v>194</v>
      </c>
      <c r="H35">
        <v>0</v>
      </c>
      <c r="I35" t="s">
        <v>489</v>
      </c>
      <c r="J35">
        <v>10861</v>
      </c>
      <c r="K35" t="s">
        <v>196</v>
      </c>
      <c r="L35">
        <v>194.77625</v>
      </c>
      <c r="M35">
        <v>27.763333333329999</v>
      </c>
      <c r="N35">
        <v>55</v>
      </c>
      <c r="O35">
        <v>8045.2402000000002</v>
      </c>
      <c r="P35" t="s">
        <v>490</v>
      </c>
      <c r="Q35" t="s">
        <v>491</v>
      </c>
      <c r="R35" t="s">
        <v>487</v>
      </c>
    </row>
    <row r="36" spans="1:20" x14ac:dyDescent="0.2">
      <c r="A36" t="s">
        <v>496</v>
      </c>
      <c r="B36" t="s">
        <v>497</v>
      </c>
      <c r="C36">
        <v>1</v>
      </c>
      <c r="D36">
        <v>0</v>
      </c>
      <c r="E36" t="s">
        <v>192</v>
      </c>
      <c r="F36" t="s">
        <v>193</v>
      </c>
      <c r="G36" t="s">
        <v>194</v>
      </c>
      <c r="H36">
        <v>1400</v>
      </c>
      <c r="I36" t="s">
        <v>498</v>
      </c>
      <c r="J36">
        <v>10861</v>
      </c>
      <c r="K36" t="s">
        <v>196</v>
      </c>
      <c r="L36">
        <v>194.6989583333</v>
      </c>
      <c r="M36">
        <v>27.77018611111</v>
      </c>
      <c r="N36">
        <v>55</v>
      </c>
      <c r="O36">
        <v>8045.2451000000001</v>
      </c>
      <c r="P36" t="s">
        <v>499</v>
      </c>
      <c r="Q36" t="s">
        <v>500</v>
      </c>
      <c r="R36" t="s">
        <v>496</v>
      </c>
      <c r="T36">
        <v>9</v>
      </c>
    </row>
    <row r="37" spans="1:20" x14ac:dyDescent="0.2">
      <c r="A37" t="s">
        <v>512</v>
      </c>
      <c r="B37" t="s">
        <v>506</v>
      </c>
      <c r="C37">
        <v>1</v>
      </c>
      <c r="D37">
        <v>0</v>
      </c>
      <c r="E37" t="s">
        <v>192</v>
      </c>
      <c r="F37" t="s">
        <v>507</v>
      </c>
      <c r="G37" t="s">
        <v>194</v>
      </c>
      <c r="H37">
        <v>10425</v>
      </c>
      <c r="I37" t="s">
        <v>513</v>
      </c>
      <c r="J37">
        <v>11711</v>
      </c>
      <c r="K37" t="s">
        <v>509</v>
      </c>
      <c r="L37">
        <v>194.9004666667</v>
      </c>
      <c r="M37">
        <v>27.961419444440001</v>
      </c>
      <c r="N37">
        <v>14</v>
      </c>
      <c r="O37">
        <v>8045.5298000000003</v>
      </c>
      <c r="P37" t="s">
        <v>514</v>
      </c>
      <c r="Q37" t="s">
        <v>515</v>
      </c>
      <c r="R37" t="s">
        <v>512</v>
      </c>
    </row>
    <row r="38" spans="1:20" x14ac:dyDescent="0.2">
      <c r="A38" t="s">
        <v>522</v>
      </c>
      <c r="B38" t="s">
        <v>517</v>
      </c>
      <c r="C38">
        <v>1</v>
      </c>
      <c r="D38">
        <v>0</v>
      </c>
      <c r="E38" t="s">
        <v>192</v>
      </c>
      <c r="F38" t="s">
        <v>518</v>
      </c>
      <c r="G38" t="s">
        <v>194</v>
      </c>
      <c r="H38">
        <v>9960</v>
      </c>
      <c r="I38" t="s">
        <v>523</v>
      </c>
      <c r="J38">
        <v>11711</v>
      </c>
      <c r="K38" t="s">
        <v>509</v>
      </c>
      <c r="L38">
        <v>195.03248083330001</v>
      </c>
      <c r="M38">
        <v>27.976933333329999</v>
      </c>
      <c r="N38">
        <v>14</v>
      </c>
      <c r="O38">
        <v>8045.5298000000003</v>
      </c>
      <c r="P38" t="s">
        <v>524</v>
      </c>
      <c r="Q38" t="s">
        <v>525</v>
      </c>
      <c r="R38" t="s">
        <v>522</v>
      </c>
    </row>
    <row r="39" spans="1:20" x14ac:dyDescent="0.2">
      <c r="A39" t="s">
        <v>530</v>
      </c>
      <c r="B39" t="s">
        <v>531</v>
      </c>
      <c r="C39">
        <v>1</v>
      </c>
      <c r="D39">
        <v>0</v>
      </c>
      <c r="E39" t="s">
        <v>192</v>
      </c>
      <c r="F39" t="s">
        <v>507</v>
      </c>
      <c r="G39" t="s">
        <v>194</v>
      </c>
      <c r="H39">
        <v>1309.6960140000001</v>
      </c>
      <c r="I39" t="s">
        <v>532</v>
      </c>
      <c r="J39">
        <v>12918</v>
      </c>
      <c r="K39" t="s">
        <v>533</v>
      </c>
      <c r="L39">
        <v>195.24541666670001</v>
      </c>
      <c r="M39">
        <v>28.028097222220001</v>
      </c>
      <c r="N39">
        <v>7</v>
      </c>
      <c r="O39">
        <v>8045.5321999999996</v>
      </c>
      <c r="P39" t="s">
        <v>534</v>
      </c>
      <c r="Q39" t="s">
        <v>535</v>
      </c>
      <c r="R39" t="s">
        <v>530</v>
      </c>
    </row>
    <row r="40" spans="1:20" x14ac:dyDescent="0.2">
      <c r="A40" t="s">
        <v>540</v>
      </c>
      <c r="B40" t="s">
        <v>330</v>
      </c>
      <c r="C40">
        <v>1</v>
      </c>
      <c r="D40">
        <v>0</v>
      </c>
      <c r="E40" t="s">
        <v>192</v>
      </c>
      <c r="F40" t="s">
        <v>507</v>
      </c>
      <c r="G40" t="s">
        <v>194</v>
      </c>
      <c r="H40">
        <v>1400</v>
      </c>
      <c r="I40" t="s">
        <v>541</v>
      </c>
      <c r="J40">
        <v>12918</v>
      </c>
      <c r="K40" t="s">
        <v>533</v>
      </c>
      <c r="L40">
        <v>194.98541666669999</v>
      </c>
      <c r="M40">
        <v>28.028097222220001</v>
      </c>
      <c r="N40">
        <v>7</v>
      </c>
      <c r="O40">
        <v>8045.5321999999996</v>
      </c>
      <c r="P40" t="s">
        <v>542</v>
      </c>
      <c r="Q40" t="s">
        <v>543</v>
      </c>
      <c r="R40" t="s">
        <v>540</v>
      </c>
    </row>
    <row r="41" spans="1:20" x14ac:dyDescent="0.2">
      <c r="A41" t="s">
        <v>548</v>
      </c>
      <c r="B41" t="s">
        <v>549</v>
      </c>
      <c r="C41">
        <v>1</v>
      </c>
      <c r="D41">
        <v>0</v>
      </c>
      <c r="E41" t="s">
        <v>192</v>
      </c>
      <c r="F41" t="s">
        <v>507</v>
      </c>
      <c r="G41" t="s">
        <v>194</v>
      </c>
      <c r="H41">
        <v>1400</v>
      </c>
      <c r="I41" t="s">
        <v>550</v>
      </c>
      <c r="J41">
        <v>12918</v>
      </c>
      <c r="K41" t="s">
        <v>533</v>
      </c>
      <c r="L41">
        <v>195.23041666669999</v>
      </c>
      <c r="M41">
        <v>27.975041666669998</v>
      </c>
      <c r="N41">
        <v>7</v>
      </c>
      <c r="O41">
        <v>8045.5321999999996</v>
      </c>
      <c r="P41" t="s">
        <v>551</v>
      </c>
      <c r="Q41" t="s">
        <v>552</v>
      </c>
      <c r="R41" t="s">
        <v>548</v>
      </c>
    </row>
    <row r="42" spans="1:20" x14ac:dyDescent="0.2">
      <c r="A42" t="s">
        <v>557</v>
      </c>
      <c r="B42" t="s">
        <v>558</v>
      </c>
      <c r="C42">
        <v>1</v>
      </c>
      <c r="D42">
        <v>0</v>
      </c>
      <c r="E42" t="s">
        <v>192</v>
      </c>
      <c r="F42" t="s">
        <v>507</v>
      </c>
      <c r="G42" t="s">
        <v>194</v>
      </c>
      <c r="H42">
        <v>1400</v>
      </c>
      <c r="I42" t="s">
        <v>559</v>
      </c>
      <c r="J42">
        <v>12918</v>
      </c>
      <c r="K42" t="s">
        <v>533</v>
      </c>
      <c r="L42">
        <v>194.84041666670001</v>
      </c>
      <c r="M42">
        <v>27.975041666669998</v>
      </c>
      <c r="N42">
        <v>7</v>
      </c>
      <c r="O42">
        <v>8045.5321999999996</v>
      </c>
      <c r="P42" t="s">
        <v>560</v>
      </c>
      <c r="Q42" t="s">
        <v>561</v>
      </c>
      <c r="R42" t="s">
        <v>557</v>
      </c>
    </row>
    <row r="43" spans="1:20" x14ac:dyDescent="0.2">
      <c r="A43" t="s">
        <v>566</v>
      </c>
      <c r="B43" t="s">
        <v>567</v>
      </c>
      <c r="C43">
        <v>1</v>
      </c>
      <c r="D43">
        <v>0</v>
      </c>
      <c r="E43" t="s">
        <v>192</v>
      </c>
      <c r="F43" t="s">
        <v>507</v>
      </c>
      <c r="G43" t="s">
        <v>194</v>
      </c>
      <c r="H43">
        <v>1400</v>
      </c>
      <c r="I43" t="s">
        <v>568</v>
      </c>
      <c r="J43">
        <v>12918</v>
      </c>
      <c r="K43" t="s">
        <v>533</v>
      </c>
      <c r="L43">
        <v>194.89041666669999</v>
      </c>
      <c r="M43">
        <v>27.921986111110002</v>
      </c>
      <c r="N43">
        <v>7</v>
      </c>
      <c r="O43">
        <v>8045.5321999999996</v>
      </c>
      <c r="P43" t="s">
        <v>569</v>
      </c>
      <c r="Q43" t="s">
        <v>570</v>
      </c>
      <c r="R43" t="s">
        <v>566</v>
      </c>
    </row>
    <row r="44" spans="1:20" x14ac:dyDescent="0.2">
      <c r="A44" t="s">
        <v>575</v>
      </c>
      <c r="B44" t="s">
        <v>576</v>
      </c>
      <c r="C44">
        <v>1</v>
      </c>
      <c r="D44">
        <v>0</v>
      </c>
      <c r="E44" t="s">
        <v>192</v>
      </c>
      <c r="F44" t="s">
        <v>507</v>
      </c>
      <c r="G44" t="s">
        <v>194</v>
      </c>
      <c r="H44">
        <v>1400</v>
      </c>
      <c r="I44" t="s">
        <v>577</v>
      </c>
      <c r="J44">
        <v>12918</v>
      </c>
      <c r="K44" t="s">
        <v>533</v>
      </c>
      <c r="L44">
        <v>194.82541666669999</v>
      </c>
      <c r="M44">
        <v>27.921986111110002</v>
      </c>
      <c r="N44">
        <v>7</v>
      </c>
      <c r="O44">
        <v>8045.5321999999996</v>
      </c>
      <c r="P44" t="s">
        <v>578</v>
      </c>
      <c r="Q44" t="s">
        <v>579</v>
      </c>
      <c r="R44" t="s">
        <v>575</v>
      </c>
    </row>
    <row r="45" spans="1:20" x14ac:dyDescent="0.2">
      <c r="A45" t="s">
        <v>199</v>
      </c>
      <c r="B45" t="s">
        <v>191</v>
      </c>
      <c r="C45">
        <v>1</v>
      </c>
      <c r="D45">
        <v>0</v>
      </c>
      <c r="E45" t="s">
        <v>192</v>
      </c>
      <c r="F45" t="s">
        <v>193</v>
      </c>
      <c r="G45" t="s">
        <v>200</v>
      </c>
      <c r="H45">
        <v>1305</v>
      </c>
      <c r="I45" t="s">
        <v>201</v>
      </c>
      <c r="J45">
        <v>10861</v>
      </c>
      <c r="K45" t="s">
        <v>196</v>
      </c>
      <c r="L45">
        <v>194.2675833333</v>
      </c>
      <c r="M45">
        <v>27.526250000000001</v>
      </c>
      <c r="N45">
        <v>55</v>
      </c>
      <c r="O45">
        <v>4747.4429</v>
      </c>
      <c r="P45" t="s">
        <v>202</v>
      </c>
      <c r="Q45" t="s">
        <v>203</v>
      </c>
      <c r="R45" t="s">
        <v>199</v>
      </c>
    </row>
    <row r="46" spans="1:20" x14ac:dyDescent="0.2">
      <c r="A46" t="s">
        <v>208</v>
      </c>
      <c r="B46" t="s">
        <v>191</v>
      </c>
      <c r="C46">
        <v>1</v>
      </c>
      <c r="D46">
        <v>0</v>
      </c>
      <c r="E46" t="s">
        <v>192</v>
      </c>
      <c r="F46" t="s">
        <v>193</v>
      </c>
      <c r="G46" t="s">
        <v>200</v>
      </c>
      <c r="H46">
        <v>2677</v>
      </c>
      <c r="I46" t="s">
        <v>209</v>
      </c>
      <c r="J46">
        <v>10861</v>
      </c>
      <c r="K46" t="s">
        <v>196</v>
      </c>
      <c r="L46">
        <v>194.2675833333</v>
      </c>
      <c r="M46">
        <v>27.526250000000001</v>
      </c>
      <c r="N46">
        <v>55</v>
      </c>
      <c r="O46">
        <v>4747.4477999999999</v>
      </c>
      <c r="P46" t="s">
        <v>210</v>
      </c>
      <c r="Q46" t="s">
        <v>211</v>
      </c>
      <c r="R46" t="s">
        <v>208</v>
      </c>
      <c r="T46">
        <v>5</v>
      </c>
    </row>
    <row r="47" spans="1:20" x14ac:dyDescent="0.2">
      <c r="A47" t="s">
        <v>217</v>
      </c>
      <c r="B47" t="s">
        <v>213</v>
      </c>
      <c r="C47">
        <v>1</v>
      </c>
      <c r="D47">
        <v>0</v>
      </c>
      <c r="E47" t="s">
        <v>192</v>
      </c>
      <c r="F47" t="s">
        <v>193</v>
      </c>
      <c r="G47" t="s">
        <v>200</v>
      </c>
      <c r="H47">
        <v>2677</v>
      </c>
      <c r="I47" t="s">
        <v>218</v>
      </c>
      <c r="J47">
        <v>10861</v>
      </c>
      <c r="K47" t="s">
        <v>196</v>
      </c>
      <c r="L47">
        <v>194.62979166669999</v>
      </c>
      <c r="M47">
        <v>27.199583333330001</v>
      </c>
      <c r="N47">
        <v>55</v>
      </c>
      <c r="O47">
        <v>4747.4472999999998</v>
      </c>
      <c r="P47" t="s">
        <v>219</v>
      </c>
      <c r="Q47" t="s">
        <v>220</v>
      </c>
      <c r="R47" t="s">
        <v>217</v>
      </c>
      <c r="T47">
        <v>5</v>
      </c>
    </row>
    <row r="48" spans="1:20" x14ac:dyDescent="0.2">
      <c r="A48" t="s">
        <v>226</v>
      </c>
      <c r="B48" t="s">
        <v>222</v>
      </c>
      <c r="C48">
        <v>1</v>
      </c>
      <c r="D48">
        <v>0</v>
      </c>
      <c r="E48" t="s">
        <v>192</v>
      </c>
      <c r="F48" t="s">
        <v>193</v>
      </c>
      <c r="G48" t="s">
        <v>200</v>
      </c>
      <c r="H48">
        <v>2511.944</v>
      </c>
      <c r="I48" t="s">
        <v>227</v>
      </c>
      <c r="J48">
        <v>10861</v>
      </c>
      <c r="K48" t="s">
        <v>196</v>
      </c>
      <c r="L48">
        <v>194.12416666670001</v>
      </c>
      <c r="M48">
        <v>27.22578055556</v>
      </c>
      <c r="N48">
        <v>55</v>
      </c>
      <c r="O48">
        <v>4747.4477999999999</v>
      </c>
      <c r="P48" t="s">
        <v>228</v>
      </c>
      <c r="Q48" t="s">
        <v>229</v>
      </c>
      <c r="R48" t="s">
        <v>226</v>
      </c>
      <c r="T48">
        <v>5</v>
      </c>
    </row>
    <row r="49" spans="1:20" x14ac:dyDescent="0.2">
      <c r="A49" t="s">
        <v>235</v>
      </c>
      <c r="B49" t="s">
        <v>231</v>
      </c>
      <c r="C49">
        <v>1</v>
      </c>
      <c r="D49">
        <v>0</v>
      </c>
      <c r="E49" t="s">
        <v>192</v>
      </c>
      <c r="F49" t="s">
        <v>193</v>
      </c>
      <c r="G49" t="s">
        <v>200</v>
      </c>
      <c r="H49">
        <v>2677</v>
      </c>
      <c r="I49" t="s">
        <v>236</v>
      </c>
      <c r="J49">
        <v>10861</v>
      </c>
      <c r="K49" t="s">
        <v>196</v>
      </c>
      <c r="L49">
        <v>194.58991666669999</v>
      </c>
      <c r="M49">
        <v>27.461305555559999</v>
      </c>
      <c r="N49">
        <v>55</v>
      </c>
      <c r="O49">
        <v>4747.4404000000004</v>
      </c>
      <c r="P49" t="s">
        <v>237</v>
      </c>
      <c r="Q49" t="s">
        <v>238</v>
      </c>
      <c r="R49" t="s">
        <v>235</v>
      </c>
      <c r="T49">
        <v>5</v>
      </c>
    </row>
    <row r="50" spans="1:20" x14ac:dyDescent="0.2">
      <c r="A50" t="s">
        <v>244</v>
      </c>
      <c r="B50" t="s">
        <v>240</v>
      </c>
      <c r="C50">
        <v>1</v>
      </c>
      <c r="D50">
        <v>0</v>
      </c>
      <c r="E50" t="s">
        <v>192</v>
      </c>
      <c r="F50" t="s">
        <v>193</v>
      </c>
      <c r="G50" t="s">
        <v>200</v>
      </c>
      <c r="H50">
        <v>2677</v>
      </c>
      <c r="I50" t="s">
        <v>245</v>
      </c>
      <c r="J50">
        <v>10861</v>
      </c>
      <c r="K50" t="s">
        <v>196</v>
      </c>
      <c r="L50">
        <v>194.29499999999999</v>
      </c>
      <c r="M50">
        <v>27.405000000000001</v>
      </c>
      <c r="N50">
        <v>55</v>
      </c>
      <c r="O50">
        <v>4747.4408999999996</v>
      </c>
      <c r="P50" t="s">
        <v>246</v>
      </c>
      <c r="Q50" t="s">
        <v>247</v>
      </c>
      <c r="R50" t="s">
        <v>244</v>
      </c>
      <c r="T50">
        <v>5</v>
      </c>
    </row>
    <row r="51" spans="1:20" x14ac:dyDescent="0.2">
      <c r="A51" t="s">
        <v>253</v>
      </c>
      <c r="B51" t="s">
        <v>249</v>
      </c>
      <c r="C51">
        <v>1</v>
      </c>
      <c r="D51">
        <v>0</v>
      </c>
      <c r="E51" t="s">
        <v>192</v>
      </c>
      <c r="F51" t="s">
        <v>193</v>
      </c>
      <c r="G51" t="s">
        <v>200</v>
      </c>
      <c r="H51">
        <v>2677</v>
      </c>
      <c r="I51" t="s">
        <v>254</v>
      </c>
      <c r="J51">
        <v>10861</v>
      </c>
      <c r="K51" t="s">
        <v>196</v>
      </c>
      <c r="L51">
        <v>194.64166666669999</v>
      </c>
      <c r="M51">
        <v>27.382999999999999</v>
      </c>
      <c r="N51">
        <v>55</v>
      </c>
      <c r="O51">
        <v>4747.4472999999998</v>
      </c>
      <c r="P51" t="s">
        <v>255</v>
      </c>
      <c r="Q51" t="s">
        <v>256</v>
      </c>
      <c r="R51" t="s">
        <v>253</v>
      </c>
      <c r="T51">
        <v>5</v>
      </c>
    </row>
    <row r="52" spans="1:20" x14ac:dyDescent="0.2">
      <c r="A52" t="s">
        <v>262</v>
      </c>
      <c r="B52" t="s">
        <v>258</v>
      </c>
      <c r="C52">
        <v>1</v>
      </c>
      <c r="D52">
        <v>0</v>
      </c>
      <c r="E52" t="s">
        <v>192</v>
      </c>
      <c r="F52" t="s">
        <v>193</v>
      </c>
      <c r="G52" t="s">
        <v>200</v>
      </c>
      <c r="H52">
        <v>2677</v>
      </c>
      <c r="I52" t="s">
        <v>263</v>
      </c>
      <c r="J52">
        <v>10861</v>
      </c>
      <c r="K52" t="s">
        <v>196</v>
      </c>
      <c r="L52">
        <v>195.19125</v>
      </c>
      <c r="M52">
        <v>28.081666666669999</v>
      </c>
      <c r="N52">
        <v>55</v>
      </c>
      <c r="O52">
        <v>4747.4462999999996</v>
      </c>
      <c r="P52" t="s">
        <v>264</v>
      </c>
      <c r="Q52" t="s">
        <v>265</v>
      </c>
      <c r="R52" t="s">
        <v>262</v>
      </c>
      <c r="T52">
        <v>5</v>
      </c>
    </row>
    <row r="53" spans="1:20" x14ac:dyDescent="0.2">
      <c r="A53" t="s">
        <v>271</v>
      </c>
      <c r="B53" t="s">
        <v>267</v>
      </c>
      <c r="C53">
        <v>1</v>
      </c>
      <c r="D53">
        <v>0</v>
      </c>
      <c r="E53" t="s">
        <v>192</v>
      </c>
      <c r="F53" t="s">
        <v>193</v>
      </c>
      <c r="G53" t="s">
        <v>200</v>
      </c>
      <c r="H53">
        <v>2677</v>
      </c>
      <c r="I53" t="s">
        <v>272</v>
      </c>
      <c r="J53">
        <v>10861</v>
      </c>
      <c r="K53" t="s">
        <v>196</v>
      </c>
      <c r="L53">
        <v>195.12625</v>
      </c>
      <c r="M53">
        <v>28.081666666669999</v>
      </c>
      <c r="N53">
        <v>55</v>
      </c>
      <c r="O53">
        <v>4747.4462999999996</v>
      </c>
      <c r="P53" t="s">
        <v>273</v>
      </c>
      <c r="Q53" t="s">
        <v>274</v>
      </c>
      <c r="R53" t="s">
        <v>271</v>
      </c>
      <c r="T53">
        <v>5</v>
      </c>
    </row>
    <row r="54" spans="1:20" x14ac:dyDescent="0.2">
      <c r="A54" t="s">
        <v>280</v>
      </c>
      <c r="B54" t="s">
        <v>276</v>
      </c>
      <c r="C54">
        <v>1</v>
      </c>
      <c r="D54">
        <v>0</v>
      </c>
      <c r="E54" t="s">
        <v>192</v>
      </c>
      <c r="F54" t="s">
        <v>193</v>
      </c>
      <c r="G54" t="s">
        <v>200</v>
      </c>
      <c r="H54">
        <v>1397</v>
      </c>
      <c r="I54" t="s">
        <v>281</v>
      </c>
      <c r="J54">
        <v>10861</v>
      </c>
      <c r="K54" t="s">
        <v>196</v>
      </c>
      <c r="L54">
        <v>195.0612901026</v>
      </c>
      <c r="M54">
        <v>28.08172356243</v>
      </c>
      <c r="N54">
        <v>55</v>
      </c>
      <c r="O54">
        <v>4747.4477999999999</v>
      </c>
      <c r="P54" t="s">
        <v>282</v>
      </c>
      <c r="Q54" t="s">
        <v>283</v>
      </c>
      <c r="R54" t="s">
        <v>280</v>
      </c>
      <c r="T54">
        <v>5</v>
      </c>
    </row>
    <row r="55" spans="1:20" x14ac:dyDescent="0.2">
      <c r="A55" t="s">
        <v>289</v>
      </c>
      <c r="B55" t="s">
        <v>285</v>
      </c>
      <c r="C55">
        <v>0</v>
      </c>
      <c r="D55">
        <v>0</v>
      </c>
      <c r="E55" t="s">
        <v>192</v>
      </c>
      <c r="F55" t="s">
        <v>193</v>
      </c>
      <c r="G55" t="s">
        <v>200</v>
      </c>
      <c r="H55">
        <v>0</v>
      </c>
      <c r="I55" t="s">
        <v>290</v>
      </c>
      <c r="J55">
        <v>10861</v>
      </c>
      <c r="K55" t="s">
        <v>196</v>
      </c>
      <c r="L55">
        <v>194.93125000000001</v>
      </c>
      <c r="M55">
        <v>28.081666666669999</v>
      </c>
      <c r="N55">
        <v>55</v>
      </c>
      <c r="O55">
        <v>4747.4462999999996</v>
      </c>
      <c r="P55" t="s">
        <v>291</v>
      </c>
      <c r="Q55" t="s">
        <v>292</v>
      </c>
      <c r="R55" t="s">
        <v>289</v>
      </c>
    </row>
    <row r="56" spans="1:20" x14ac:dyDescent="0.2">
      <c r="A56" t="s">
        <v>298</v>
      </c>
      <c r="B56" t="s">
        <v>294</v>
      </c>
      <c r="C56">
        <v>0</v>
      </c>
      <c r="D56">
        <v>0</v>
      </c>
      <c r="E56" t="s">
        <v>192</v>
      </c>
      <c r="F56" t="s">
        <v>193</v>
      </c>
      <c r="G56" t="s">
        <v>200</v>
      </c>
      <c r="H56">
        <v>0</v>
      </c>
      <c r="I56" t="s">
        <v>299</v>
      </c>
      <c r="J56">
        <v>10861</v>
      </c>
      <c r="K56" t="s">
        <v>196</v>
      </c>
      <c r="L56">
        <v>194.80125000000001</v>
      </c>
      <c r="M56">
        <v>28.081666666669999</v>
      </c>
      <c r="N56">
        <v>55</v>
      </c>
      <c r="O56">
        <v>4747.4467999999997</v>
      </c>
      <c r="P56" t="s">
        <v>300</v>
      </c>
      <c r="Q56" t="s">
        <v>301</v>
      </c>
      <c r="R56" t="s">
        <v>298</v>
      </c>
    </row>
    <row r="57" spans="1:20" x14ac:dyDescent="0.2">
      <c r="A57" t="s">
        <v>307</v>
      </c>
      <c r="B57" t="s">
        <v>303</v>
      </c>
      <c r="C57">
        <v>1</v>
      </c>
      <c r="D57">
        <v>0</v>
      </c>
      <c r="E57" t="s">
        <v>192</v>
      </c>
      <c r="F57" t="s">
        <v>193</v>
      </c>
      <c r="G57" t="s">
        <v>200</v>
      </c>
      <c r="H57">
        <v>2677</v>
      </c>
      <c r="I57" t="s">
        <v>308</v>
      </c>
      <c r="J57">
        <v>10861</v>
      </c>
      <c r="K57" t="s">
        <v>196</v>
      </c>
      <c r="L57">
        <v>195.17625000000001</v>
      </c>
      <c r="M57">
        <v>28.028611111109999</v>
      </c>
      <c r="N57">
        <v>55</v>
      </c>
      <c r="O57">
        <v>4747.4467999999997</v>
      </c>
      <c r="P57" t="s">
        <v>309</v>
      </c>
      <c r="Q57" t="s">
        <v>310</v>
      </c>
      <c r="R57" t="s">
        <v>307</v>
      </c>
      <c r="T57">
        <v>5</v>
      </c>
    </row>
    <row r="58" spans="1:20" x14ac:dyDescent="0.2">
      <c r="A58" t="s">
        <v>316</v>
      </c>
      <c r="B58" t="s">
        <v>312</v>
      </c>
      <c r="C58">
        <v>1</v>
      </c>
      <c r="D58">
        <v>0</v>
      </c>
      <c r="E58" t="s">
        <v>192</v>
      </c>
      <c r="F58" t="s">
        <v>193</v>
      </c>
      <c r="G58" t="s">
        <v>200</v>
      </c>
      <c r="H58">
        <v>2677</v>
      </c>
      <c r="I58" t="s">
        <v>317</v>
      </c>
      <c r="J58">
        <v>10861</v>
      </c>
      <c r="K58" t="s">
        <v>196</v>
      </c>
      <c r="L58">
        <v>195.11125000000001</v>
      </c>
      <c r="M58">
        <v>28.028611111109999</v>
      </c>
      <c r="N58">
        <v>55</v>
      </c>
      <c r="O58">
        <v>4747.4467999999997</v>
      </c>
      <c r="P58" t="s">
        <v>318</v>
      </c>
      <c r="Q58" t="s">
        <v>319</v>
      </c>
      <c r="R58" t="s">
        <v>316</v>
      </c>
      <c r="T58">
        <v>5</v>
      </c>
    </row>
    <row r="59" spans="1:20" x14ac:dyDescent="0.2">
      <c r="A59" t="s">
        <v>325</v>
      </c>
      <c r="B59" t="s">
        <v>321</v>
      </c>
      <c r="C59">
        <v>1</v>
      </c>
      <c r="D59">
        <v>0</v>
      </c>
      <c r="E59" t="s">
        <v>192</v>
      </c>
      <c r="F59" t="s">
        <v>193</v>
      </c>
      <c r="G59" t="s">
        <v>200</v>
      </c>
      <c r="H59">
        <v>2677</v>
      </c>
      <c r="I59" t="s">
        <v>326</v>
      </c>
      <c r="J59">
        <v>10861</v>
      </c>
      <c r="K59" t="s">
        <v>196</v>
      </c>
      <c r="L59">
        <v>195.04624999999999</v>
      </c>
      <c r="M59">
        <v>28.028611111109999</v>
      </c>
      <c r="N59">
        <v>55</v>
      </c>
      <c r="O59">
        <v>4747.4467999999997</v>
      </c>
      <c r="P59" t="s">
        <v>327</v>
      </c>
      <c r="Q59" t="s">
        <v>328</v>
      </c>
      <c r="R59" t="s">
        <v>325</v>
      </c>
      <c r="T59">
        <v>5</v>
      </c>
    </row>
    <row r="60" spans="1:20" x14ac:dyDescent="0.2">
      <c r="A60" t="s">
        <v>334</v>
      </c>
      <c r="B60" t="s">
        <v>330</v>
      </c>
      <c r="C60">
        <v>0</v>
      </c>
      <c r="D60">
        <v>0</v>
      </c>
      <c r="E60" t="s">
        <v>192</v>
      </c>
      <c r="F60" t="s">
        <v>193</v>
      </c>
      <c r="G60" t="s">
        <v>200</v>
      </c>
      <c r="H60">
        <v>0</v>
      </c>
      <c r="I60" t="s">
        <v>335</v>
      </c>
      <c r="J60">
        <v>10861</v>
      </c>
      <c r="K60" t="s">
        <v>196</v>
      </c>
      <c r="L60">
        <v>194.98124999999999</v>
      </c>
      <c r="M60">
        <v>28.028611111109999</v>
      </c>
      <c r="N60">
        <v>55</v>
      </c>
      <c r="O60">
        <v>4747.4467999999997</v>
      </c>
      <c r="P60" t="s">
        <v>336</v>
      </c>
      <c r="Q60" t="s">
        <v>337</v>
      </c>
      <c r="R60" t="s">
        <v>334</v>
      </c>
    </row>
    <row r="61" spans="1:20" x14ac:dyDescent="0.2">
      <c r="A61" t="s">
        <v>343</v>
      </c>
      <c r="B61" t="s">
        <v>339</v>
      </c>
      <c r="C61">
        <v>1</v>
      </c>
      <c r="D61">
        <v>0</v>
      </c>
      <c r="E61" t="s">
        <v>192</v>
      </c>
      <c r="F61" t="s">
        <v>193</v>
      </c>
      <c r="G61" t="s">
        <v>200</v>
      </c>
      <c r="H61">
        <v>2012</v>
      </c>
      <c r="I61" t="s">
        <v>344</v>
      </c>
      <c r="J61">
        <v>10861</v>
      </c>
      <c r="K61" t="s">
        <v>196</v>
      </c>
      <c r="L61">
        <v>194.91624999999999</v>
      </c>
      <c r="M61">
        <v>28.028611111109999</v>
      </c>
      <c r="N61">
        <v>55</v>
      </c>
      <c r="O61">
        <v>4747.4467999999897</v>
      </c>
      <c r="P61" t="s">
        <v>345</v>
      </c>
      <c r="Q61" t="s">
        <v>346</v>
      </c>
      <c r="R61" t="s">
        <v>343</v>
      </c>
      <c r="T61">
        <v>5</v>
      </c>
    </row>
    <row r="62" spans="1:20" x14ac:dyDescent="0.2">
      <c r="A62" t="s">
        <v>352</v>
      </c>
      <c r="B62" t="s">
        <v>348</v>
      </c>
      <c r="C62">
        <v>1</v>
      </c>
      <c r="D62">
        <v>0</v>
      </c>
      <c r="E62" t="s">
        <v>192</v>
      </c>
      <c r="F62" t="s">
        <v>193</v>
      </c>
      <c r="G62" t="s">
        <v>200</v>
      </c>
      <c r="H62">
        <v>1372</v>
      </c>
      <c r="I62" t="s">
        <v>353</v>
      </c>
      <c r="J62">
        <v>10861</v>
      </c>
      <c r="K62" t="s">
        <v>196</v>
      </c>
      <c r="L62">
        <v>194.8521941523</v>
      </c>
      <c r="M62">
        <v>28.0285406524</v>
      </c>
      <c r="N62">
        <v>55</v>
      </c>
      <c r="O62">
        <v>4747.4467999999997</v>
      </c>
      <c r="P62" t="s">
        <v>354</v>
      </c>
      <c r="Q62" t="s">
        <v>355</v>
      </c>
      <c r="R62" t="s">
        <v>352</v>
      </c>
      <c r="T62">
        <v>5</v>
      </c>
    </row>
    <row r="63" spans="1:20" x14ac:dyDescent="0.2">
      <c r="A63" t="s">
        <v>361</v>
      </c>
      <c r="B63" t="s">
        <v>357</v>
      </c>
      <c r="C63">
        <v>1</v>
      </c>
      <c r="D63">
        <v>0</v>
      </c>
      <c r="E63" t="s">
        <v>192</v>
      </c>
      <c r="F63" t="s">
        <v>193</v>
      </c>
      <c r="G63" t="s">
        <v>200</v>
      </c>
      <c r="H63">
        <v>2037</v>
      </c>
      <c r="I63" t="s">
        <v>362</v>
      </c>
      <c r="J63">
        <v>10861</v>
      </c>
      <c r="K63" t="s">
        <v>196</v>
      </c>
      <c r="L63">
        <v>194.78625</v>
      </c>
      <c r="M63">
        <v>28.028611111109999</v>
      </c>
      <c r="N63">
        <v>55</v>
      </c>
      <c r="O63">
        <v>4747.4462999999996</v>
      </c>
      <c r="P63" t="s">
        <v>363</v>
      </c>
      <c r="Q63" t="s">
        <v>364</v>
      </c>
      <c r="R63" t="s">
        <v>361</v>
      </c>
      <c r="T63">
        <v>5</v>
      </c>
    </row>
    <row r="64" spans="1:20" x14ac:dyDescent="0.2">
      <c r="A64" t="s">
        <v>370</v>
      </c>
      <c r="B64" t="s">
        <v>366</v>
      </c>
      <c r="C64">
        <v>1</v>
      </c>
      <c r="D64">
        <v>0</v>
      </c>
      <c r="E64" t="s">
        <v>192</v>
      </c>
      <c r="F64" t="s">
        <v>193</v>
      </c>
      <c r="G64" t="s">
        <v>200</v>
      </c>
      <c r="H64">
        <v>2677</v>
      </c>
      <c r="I64" t="s">
        <v>371</v>
      </c>
      <c r="J64">
        <v>10861</v>
      </c>
      <c r="K64" t="s">
        <v>196</v>
      </c>
      <c r="L64">
        <v>195.16125</v>
      </c>
      <c r="M64">
        <v>27.97555555556</v>
      </c>
      <c r="N64">
        <v>55</v>
      </c>
      <c r="O64">
        <v>4747.4486999999999</v>
      </c>
      <c r="P64" t="s">
        <v>372</v>
      </c>
      <c r="Q64" t="s">
        <v>373</v>
      </c>
      <c r="R64" t="s">
        <v>370</v>
      </c>
      <c r="T64">
        <v>5</v>
      </c>
    </row>
    <row r="65" spans="1:20" x14ac:dyDescent="0.2">
      <c r="A65" t="s">
        <v>379</v>
      </c>
      <c r="B65" t="s">
        <v>375</v>
      </c>
      <c r="C65">
        <v>1</v>
      </c>
      <c r="D65">
        <v>0</v>
      </c>
      <c r="E65" t="s">
        <v>192</v>
      </c>
      <c r="F65" t="s">
        <v>193</v>
      </c>
      <c r="G65" t="s">
        <v>200</v>
      </c>
      <c r="H65">
        <v>2677</v>
      </c>
      <c r="I65" t="s">
        <v>380</v>
      </c>
      <c r="J65">
        <v>10861</v>
      </c>
      <c r="K65" t="s">
        <v>196</v>
      </c>
      <c r="L65">
        <v>195.09625</v>
      </c>
      <c r="M65">
        <v>27.97555555556</v>
      </c>
      <c r="N65">
        <v>55</v>
      </c>
      <c r="O65">
        <v>4747.4481999999998</v>
      </c>
      <c r="P65" t="s">
        <v>381</v>
      </c>
      <c r="Q65" t="s">
        <v>382</v>
      </c>
      <c r="R65" t="s">
        <v>379</v>
      </c>
      <c r="T65">
        <v>5</v>
      </c>
    </row>
    <row r="66" spans="1:20" x14ac:dyDescent="0.2">
      <c r="A66" t="s">
        <v>388</v>
      </c>
      <c r="B66" t="s">
        <v>384</v>
      </c>
      <c r="C66">
        <v>1</v>
      </c>
      <c r="D66">
        <v>0</v>
      </c>
      <c r="E66" t="s">
        <v>192</v>
      </c>
      <c r="F66" t="s">
        <v>193</v>
      </c>
      <c r="G66" t="s">
        <v>200</v>
      </c>
      <c r="H66">
        <v>2677</v>
      </c>
      <c r="I66" t="s">
        <v>389</v>
      </c>
      <c r="J66">
        <v>10861</v>
      </c>
      <c r="K66" t="s">
        <v>196</v>
      </c>
      <c r="L66">
        <v>194.96625</v>
      </c>
      <c r="M66">
        <v>27.97555555556</v>
      </c>
      <c r="N66">
        <v>55</v>
      </c>
      <c r="O66">
        <v>4747.4481999999998</v>
      </c>
      <c r="P66" t="s">
        <v>390</v>
      </c>
      <c r="Q66" t="s">
        <v>391</v>
      </c>
      <c r="R66" t="s">
        <v>388</v>
      </c>
      <c r="T66">
        <v>5</v>
      </c>
    </row>
    <row r="67" spans="1:20" x14ac:dyDescent="0.2">
      <c r="A67" t="s">
        <v>397</v>
      </c>
      <c r="B67" t="s">
        <v>393</v>
      </c>
      <c r="C67">
        <v>1</v>
      </c>
      <c r="D67">
        <v>0</v>
      </c>
      <c r="E67" t="s">
        <v>192</v>
      </c>
      <c r="F67" t="s">
        <v>193</v>
      </c>
      <c r="G67" t="s">
        <v>200</v>
      </c>
      <c r="H67">
        <v>2677</v>
      </c>
      <c r="I67" t="s">
        <v>398</v>
      </c>
      <c r="J67">
        <v>10861</v>
      </c>
      <c r="K67" t="s">
        <v>196</v>
      </c>
      <c r="L67">
        <v>194.90125</v>
      </c>
      <c r="M67">
        <v>27.97555555556</v>
      </c>
      <c r="N67">
        <v>55</v>
      </c>
      <c r="O67">
        <v>4747.4481999999998</v>
      </c>
      <c r="P67" t="s">
        <v>399</v>
      </c>
      <c r="Q67" t="s">
        <v>400</v>
      </c>
      <c r="R67" t="s">
        <v>397</v>
      </c>
      <c r="T67">
        <v>5</v>
      </c>
    </row>
    <row r="68" spans="1:20" x14ac:dyDescent="0.2">
      <c r="A68" t="s">
        <v>406</v>
      </c>
      <c r="B68" t="s">
        <v>402</v>
      </c>
      <c r="C68">
        <v>1</v>
      </c>
      <c r="D68">
        <v>0</v>
      </c>
      <c r="E68" t="s">
        <v>192</v>
      </c>
      <c r="F68" t="s">
        <v>193</v>
      </c>
      <c r="G68" t="s">
        <v>200</v>
      </c>
      <c r="H68">
        <v>1280</v>
      </c>
      <c r="I68" t="s">
        <v>407</v>
      </c>
      <c r="J68">
        <v>10861</v>
      </c>
      <c r="K68" t="s">
        <v>196</v>
      </c>
      <c r="L68">
        <v>195.14625000000001</v>
      </c>
      <c r="M68">
        <v>27.922499999999999</v>
      </c>
      <c r="N68">
        <v>55</v>
      </c>
      <c r="O68">
        <v>4747.4481999999998</v>
      </c>
      <c r="P68" t="s">
        <v>408</v>
      </c>
      <c r="Q68" t="s">
        <v>409</v>
      </c>
      <c r="R68" t="s">
        <v>406</v>
      </c>
    </row>
    <row r="69" spans="1:20" x14ac:dyDescent="0.2">
      <c r="A69" t="s">
        <v>414</v>
      </c>
      <c r="B69" t="s">
        <v>402</v>
      </c>
      <c r="C69">
        <v>1</v>
      </c>
      <c r="D69">
        <v>0</v>
      </c>
      <c r="E69" t="s">
        <v>192</v>
      </c>
      <c r="F69" t="s">
        <v>193</v>
      </c>
      <c r="G69" t="s">
        <v>200</v>
      </c>
      <c r="H69">
        <v>1280</v>
      </c>
      <c r="I69" t="s">
        <v>415</v>
      </c>
      <c r="J69">
        <v>10861</v>
      </c>
      <c r="K69" t="s">
        <v>196</v>
      </c>
      <c r="L69">
        <v>195.14719324960001</v>
      </c>
      <c r="M69">
        <v>27.922429322300001</v>
      </c>
      <c r="N69">
        <v>55</v>
      </c>
      <c r="O69">
        <v>4747.4481999999998</v>
      </c>
      <c r="P69" t="s">
        <v>416</v>
      </c>
      <c r="Q69" t="s">
        <v>417</v>
      </c>
      <c r="R69" t="s">
        <v>414</v>
      </c>
      <c r="T69">
        <v>5</v>
      </c>
    </row>
    <row r="70" spans="1:20" x14ac:dyDescent="0.2">
      <c r="A70" t="s">
        <v>423</v>
      </c>
      <c r="B70" t="s">
        <v>419</v>
      </c>
      <c r="C70">
        <v>1</v>
      </c>
      <c r="D70">
        <v>0</v>
      </c>
      <c r="E70" t="s">
        <v>192</v>
      </c>
      <c r="F70" t="s">
        <v>193</v>
      </c>
      <c r="G70" t="s">
        <v>200</v>
      </c>
      <c r="H70">
        <v>2677</v>
      </c>
      <c r="I70" t="s">
        <v>424</v>
      </c>
      <c r="J70">
        <v>10861</v>
      </c>
      <c r="K70" t="s">
        <v>196</v>
      </c>
      <c r="L70">
        <v>195.08125000000001</v>
      </c>
      <c r="M70">
        <v>27.922499999999999</v>
      </c>
      <c r="N70">
        <v>55</v>
      </c>
      <c r="O70">
        <v>4747.4486999999999</v>
      </c>
      <c r="P70" t="s">
        <v>425</v>
      </c>
      <c r="Q70" t="s">
        <v>426</v>
      </c>
      <c r="R70" t="s">
        <v>423</v>
      </c>
      <c r="T70">
        <v>5</v>
      </c>
    </row>
    <row r="71" spans="1:20" x14ac:dyDescent="0.2">
      <c r="A71" t="s">
        <v>432</v>
      </c>
      <c r="B71" t="s">
        <v>428</v>
      </c>
      <c r="C71">
        <v>0</v>
      </c>
      <c r="D71">
        <v>0</v>
      </c>
      <c r="E71" t="s">
        <v>192</v>
      </c>
      <c r="F71" t="s">
        <v>193</v>
      </c>
      <c r="G71" t="s">
        <v>200</v>
      </c>
      <c r="H71">
        <v>640</v>
      </c>
      <c r="I71" t="s">
        <v>433</v>
      </c>
      <c r="J71">
        <v>10861</v>
      </c>
      <c r="K71" t="s">
        <v>196</v>
      </c>
      <c r="L71">
        <v>195.01625000000001</v>
      </c>
      <c r="M71">
        <v>27.922499999999999</v>
      </c>
      <c r="N71">
        <v>55</v>
      </c>
      <c r="O71">
        <v>4747.4481999999998</v>
      </c>
      <c r="P71" t="s">
        <v>434</v>
      </c>
      <c r="Q71" t="s">
        <v>435</v>
      </c>
      <c r="R71" t="s">
        <v>432</v>
      </c>
    </row>
    <row r="72" spans="1:20" x14ac:dyDescent="0.2">
      <c r="A72" t="s">
        <v>440</v>
      </c>
      <c r="B72" t="s">
        <v>428</v>
      </c>
      <c r="C72">
        <v>0</v>
      </c>
      <c r="D72">
        <v>0</v>
      </c>
      <c r="E72" t="s">
        <v>192</v>
      </c>
      <c r="F72" t="s">
        <v>193</v>
      </c>
      <c r="G72" t="s">
        <v>200</v>
      </c>
      <c r="H72">
        <v>640</v>
      </c>
      <c r="I72" t="s">
        <v>441</v>
      </c>
      <c r="J72">
        <v>10861</v>
      </c>
      <c r="K72" t="s">
        <v>196</v>
      </c>
      <c r="L72">
        <v>195.01629010330001</v>
      </c>
      <c r="M72">
        <v>27.922556570809999</v>
      </c>
      <c r="N72">
        <v>55</v>
      </c>
      <c r="O72">
        <v>4747.4481999999998</v>
      </c>
      <c r="P72" t="s">
        <v>442</v>
      </c>
      <c r="Q72" t="s">
        <v>443</v>
      </c>
      <c r="R72" t="s">
        <v>440</v>
      </c>
    </row>
    <row r="73" spans="1:20" x14ac:dyDescent="0.2">
      <c r="A73" t="s">
        <v>448</v>
      </c>
      <c r="B73" t="s">
        <v>428</v>
      </c>
      <c r="C73">
        <v>1</v>
      </c>
      <c r="D73">
        <v>0</v>
      </c>
      <c r="E73" t="s">
        <v>192</v>
      </c>
      <c r="F73" t="s">
        <v>193</v>
      </c>
      <c r="G73" t="s">
        <v>200</v>
      </c>
      <c r="H73">
        <v>1280</v>
      </c>
      <c r="I73" t="s">
        <v>449</v>
      </c>
      <c r="J73">
        <v>10861</v>
      </c>
      <c r="K73" t="s">
        <v>196</v>
      </c>
      <c r="L73">
        <v>195.01719324960001</v>
      </c>
      <c r="M73">
        <v>27.922429322300001</v>
      </c>
      <c r="N73">
        <v>55</v>
      </c>
      <c r="O73">
        <v>4747.4481999999998</v>
      </c>
      <c r="P73" t="s">
        <v>450</v>
      </c>
      <c r="Q73" t="s">
        <v>451</v>
      </c>
      <c r="R73" t="s">
        <v>448</v>
      </c>
      <c r="T73">
        <v>5</v>
      </c>
    </row>
    <row r="74" spans="1:20" x14ac:dyDescent="0.2">
      <c r="A74" t="s">
        <v>457</v>
      </c>
      <c r="B74" t="s">
        <v>453</v>
      </c>
      <c r="C74">
        <v>1</v>
      </c>
      <c r="D74">
        <v>0</v>
      </c>
      <c r="E74" t="s">
        <v>192</v>
      </c>
      <c r="F74" t="s">
        <v>193</v>
      </c>
      <c r="G74" t="s">
        <v>200</v>
      </c>
      <c r="H74">
        <v>1280</v>
      </c>
      <c r="I74" t="s">
        <v>458</v>
      </c>
      <c r="J74">
        <v>10861</v>
      </c>
      <c r="K74" t="s">
        <v>196</v>
      </c>
      <c r="L74">
        <v>194.95124999999999</v>
      </c>
      <c r="M74">
        <v>27.922499999999999</v>
      </c>
      <c r="N74">
        <v>55</v>
      </c>
      <c r="O74">
        <v>4747.4481999999998</v>
      </c>
      <c r="P74" t="s">
        <v>459</v>
      </c>
      <c r="Q74" t="s">
        <v>460</v>
      </c>
      <c r="R74" t="s">
        <v>457</v>
      </c>
    </row>
    <row r="75" spans="1:20" x14ac:dyDescent="0.2">
      <c r="A75" t="s">
        <v>465</v>
      </c>
      <c r="B75" t="s">
        <v>453</v>
      </c>
      <c r="C75">
        <v>1</v>
      </c>
      <c r="D75">
        <v>0</v>
      </c>
      <c r="E75" t="s">
        <v>192</v>
      </c>
      <c r="F75" t="s">
        <v>193</v>
      </c>
      <c r="G75" t="s">
        <v>200</v>
      </c>
      <c r="H75">
        <v>1280</v>
      </c>
      <c r="I75" t="s">
        <v>466</v>
      </c>
      <c r="J75">
        <v>10861</v>
      </c>
      <c r="K75" t="s">
        <v>196</v>
      </c>
      <c r="L75">
        <v>194.95219324959999</v>
      </c>
      <c r="M75">
        <v>27.922429322300001</v>
      </c>
      <c r="N75">
        <v>55</v>
      </c>
      <c r="O75">
        <v>4747.4481999999998</v>
      </c>
      <c r="P75" t="s">
        <v>467</v>
      </c>
      <c r="Q75" t="s">
        <v>468</v>
      </c>
      <c r="R75" t="s">
        <v>465</v>
      </c>
      <c r="T75">
        <v>5</v>
      </c>
    </row>
    <row r="76" spans="1:20" x14ac:dyDescent="0.2">
      <c r="A76" t="s">
        <v>474</v>
      </c>
      <c r="B76" t="s">
        <v>470</v>
      </c>
      <c r="C76">
        <v>1</v>
      </c>
      <c r="D76">
        <v>0</v>
      </c>
      <c r="E76" t="s">
        <v>192</v>
      </c>
      <c r="F76" t="s">
        <v>193</v>
      </c>
      <c r="G76" t="s">
        <v>200</v>
      </c>
      <c r="H76">
        <v>2677</v>
      </c>
      <c r="I76" t="s">
        <v>475</v>
      </c>
      <c r="J76">
        <v>10861</v>
      </c>
      <c r="K76" t="s">
        <v>196</v>
      </c>
      <c r="L76">
        <v>194.87125</v>
      </c>
      <c r="M76">
        <v>27.869444444439999</v>
      </c>
      <c r="N76">
        <v>55</v>
      </c>
      <c r="O76">
        <v>4747.4472999999998</v>
      </c>
      <c r="P76" t="s">
        <v>476</v>
      </c>
      <c r="Q76" t="s">
        <v>477</v>
      </c>
      <c r="R76" t="s">
        <v>474</v>
      </c>
      <c r="T76">
        <v>5</v>
      </c>
    </row>
    <row r="77" spans="1:20" x14ac:dyDescent="0.2">
      <c r="A77" t="s">
        <v>483</v>
      </c>
      <c r="B77" t="s">
        <v>479</v>
      </c>
      <c r="C77">
        <v>0</v>
      </c>
      <c r="D77">
        <v>0</v>
      </c>
      <c r="E77" t="s">
        <v>192</v>
      </c>
      <c r="F77" t="s">
        <v>193</v>
      </c>
      <c r="G77" t="s">
        <v>200</v>
      </c>
      <c r="H77">
        <v>0</v>
      </c>
      <c r="I77" t="s">
        <v>484</v>
      </c>
      <c r="J77">
        <v>10861</v>
      </c>
      <c r="K77" t="s">
        <v>196</v>
      </c>
      <c r="L77">
        <v>194.98625000000001</v>
      </c>
      <c r="M77">
        <v>27.81638888889</v>
      </c>
      <c r="N77">
        <v>55</v>
      </c>
      <c r="O77">
        <v>4747.4472999999998</v>
      </c>
      <c r="P77" t="s">
        <v>485</v>
      </c>
      <c r="Q77" t="s">
        <v>486</v>
      </c>
      <c r="R77" t="s">
        <v>483</v>
      </c>
    </row>
    <row r="78" spans="1:20" x14ac:dyDescent="0.2">
      <c r="A78" t="s">
        <v>492</v>
      </c>
      <c r="B78" t="s">
        <v>488</v>
      </c>
      <c r="C78">
        <v>0</v>
      </c>
      <c r="D78">
        <v>0</v>
      </c>
      <c r="E78" t="s">
        <v>192</v>
      </c>
      <c r="F78" t="s">
        <v>193</v>
      </c>
      <c r="G78" t="s">
        <v>200</v>
      </c>
      <c r="H78">
        <v>0</v>
      </c>
      <c r="I78" t="s">
        <v>493</v>
      </c>
      <c r="J78">
        <v>10861</v>
      </c>
      <c r="K78" t="s">
        <v>196</v>
      </c>
      <c r="L78">
        <v>194.77625</v>
      </c>
      <c r="M78">
        <v>27.763333333329999</v>
      </c>
      <c r="N78">
        <v>55</v>
      </c>
      <c r="O78">
        <v>4747.4462999999996</v>
      </c>
      <c r="P78" t="s">
        <v>494</v>
      </c>
      <c r="Q78" t="s">
        <v>495</v>
      </c>
      <c r="R78" t="s">
        <v>492</v>
      </c>
    </row>
    <row r="79" spans="1:20" x14ac:dyDescent="0.2">
      <c r="A79" t="s">
        <v>501</v>
      </c>
      <c r="B79" t="s">
        <v>497</v>
      </c>
      <c r="C79">
        <v>1</v>
      </c>
      <c r="D79">
        <v>0</v>
      </c>
      <c r="E79" t="s">
        <v>192</v>
      </c>
      <c r="F79" t="s">
        <v>193</v>
      </c>
      <c r="G79" t="s">
        <v>200</v>
      </c>
      <c r="H79">
        <v>2677</v>
      </c>
      <c r="I79" t="s">
        <v>502</v>
      </c>
      <c r="J79">
        <v>10861</v>
      </c>
      <c r="K79" t="s">
        <v>196</v>
      </c>
      <c r="L79">
        <v>194.6989583333</v>
      </c>
      <c r="M79">
        <v>27.77018611111</v>
      </c>
      <c r="N79">
        <v>55</v>
      </c>
      <c r="O79">
        <v>4747.4472999999998</v>
      </c>
      <c r="P79" t="s">
        <v>503</v>
      </c>
      <c r="Q79" t="s">
        <v>504</v>
      </c>
      <c r="R79" t="s">
        <v>501</v>
      </c>
      <c r="T79">
        <v>5</v>
      </c>
    </row>
    <row r="80" spans="1:20" x14ac:dyDescent="0.2">
      <c r="A80" t="s">
        <v>505</v>
      </c>
      <c r="B80" t="s">
        <v>506</v>
      </c>
      <c r="C80">
        <v>1</v>
      </c>
      <c r="D80">
        <v>0</v>
      </c>
      <c r="E80" t="s">
        <v>192</v>
      </c>
      <c r="F80" t="s">
        <v>507</v>
      </c>
      <c r="G80" t="s">
        <v>200</v>
      </c>
      <c r="H80">
        <v>2394</v>
      </c>
      <c r="I80" t="s">
        <v>508</v>
      </c>
      <c r="J80">
        <v>11711</v>
      </c>
      <c r="K80" t="s">
        <v>509</v>
      </c>
      <c r="L80">
        <v>194.9004666667</v>
      </c>
      <c r="M80">
        <v>27.961419444440001</v>
      </c>
      <c r="N80">
        <v>14</v>
      </c>
      <c r="O80">
        <v>4746.9570000000003</v>
      </c>
      <c r="P80" t="s">
        <v>510</v>
      </c>
      <c r="Q80" t="s">
        <v>511</v>
      </c>
      <c r="R80" t="s">
        <v>505</v>
      </c>
    </row>
    <row r="81" spans="1:18" x14ac:dyDescent="0.2">
      <c r="A81" t="s">
        <v>516</v>
      </c>
      <c r="B81" t="s">
        <v>517</v>
      </c>
      <c r="C81">
        <v>1</v>
      </c>
      <c r="D81">
        <v>0</v>
      </c>
      <c r="E81" t="s">
        <v>192</v>
      </c>
      <c r="F81" t="s">
        <v>518</v>
      </c>
      <c r="G81" t="s">
        <v>200</v>
      </c>
      <c r="H81">
        <v>2385</v>
      </c>
      <c r="I81" t="s">
        <v>519</v>
      </c>
      <c r="J81">
        <v>11711</v>
      </c>
      <c r="K81" t="s">
        <v>509</v>
      </c>
      <c r="L81">
        <v>195.03248083330001</v>
      </c>
      <c r="M81">
        <v>27.976933333329999</v>
      </c>
      <c r="N81">
        <v>14</v>
      </c>
      <c r="O81">
        <v>4746.9570000000003</v>
      </c>
      <c r="P81" t="s">
        <v>520</v>
      </c>
      <c r="Q81" t="s">
        <v>521</v>
      </c>
      <c r="R81" t="s">
        <v>516</v>
      </c>
    </row>
    <row r="82" spans="1:18" x14ac:dyDescent="0.2">
      <c r="A82" t="s">
        <v>526</v>
      </c>
      <c r="B82" t="s">
        <v>517</v>
      </c>
      <c r="C82">
        <v>1</v>
      </c>
      <c r="D82">
        <v>0</v>
      </c>
      <c r="E82" t="s">
        <v>192</v>
      </c>
      <c r="F82" t="s">
        <v>518</v>
      </c>
      <c r="G82" t="s">
        <v>200</v>
      </c>
      <c r="H82">
        <v>2385</v>
      </c>
      <c r="I82" t="s">
        <v>527</v>
      </c>
      <c r="J82">
        <v>11711</v>
      </c>
      <c r="K82" t="s">
        <v>509</v>
      </c>
      <c r="L82">
        <v>195.03248083330001</v>
      </c>
      <c r="M82">
        <v>27.976933333329999</v>
      </c>
      <c r="N82">
        <v>14</v>
      </c>
      <c r="O82">
        <v>4746.9570000000003</v>
      </c>
      <c r="P82" t="s">
        <v>528</v>
      </c>
      <c r="Q82" t="s">
        <v>529</v>
      </c>
      <c r="R82" t="s">
        <v>526</v>
      </c>
    </row>
    <row r="83" spans="1:18" x14ac:dyDescent="0.2">
      <c r="A83" t="s">
        <v>536</v>
      </c>
      <c r="B83" t="s">
        <v>531</v>
      </c>
      <c r="C83">
        <v>1</v>
      </c>
      <c r="D83">
        <v>0</v>
      </c>
      <c r="E83" t="s">
        <v>192</v>
      </c>
      <c r="F83" t="s">
        <v>507</v>
      </c>
      <c r="G83" t="s">
        <v>200</v>
      </c>
      <c r="H83">
        <v>2568</v>
      </c>
      <c r="I83" t="s">
        <v>537</v>
      </c>
      <c r="J83">
        <v>12918</v>
      </c>
      <c r="K83" t="s">
        <v>533</v>
      </c>
      <c r="L83">
        <v>195.24541666670001</v>
      </c>
      <c r="M83">
        <v>28.028097222220001</v>
      </c>
      <c r="N83">
        <v>7</v>
      </c>
      <c r="O83">
        <v>4746.9565000000002</v>
      </c>
      <c r="P83" t="s">
        <v>538</v>
      </c>
      <c r="Q83" t="s">
        <v>539</v>
      </c>
      <c r="R83" t="s">
        <v>536</v>
      </c>
    </row>
    <row r="84" spans="1:18" x14ac:dyDescent="0.2">
      <c r="A84" t="s">
        <v>544</v>
      </c>
      <c r="B84" t="s">
        <v>330</v>
      </c>
      <c r="C84">
        <v>1</v>
      </c>
      <c r="D84">
        <v>0</v>
      </c>
      <c r="E84" t="s">
        <v>192</v>
      </c>
      <c r="F84" t="s">
        <v>507</v>
      </c>
      <c r="G84" t="s">
        <v>200</v>
      </c>
      <c r="H84">
        <v>2568</v>
      </c>
      <c r="I84" t="s">
        <v>545</v>
      </c>
      <c r="J84">
        <v>12918</v>
      </c>
      <c r="K84" t="s">
        <v>533</v>
      </c>
      <c r="L84">
        <v>194.98541666669999</v>
      </c>
      <c r="M84">
        <v>28.028097222220001</v>
      </c>
      <c r="N84">
        <v>7</v>
      </c>
      <c r="O84">
        <v>4746.9565000000002</v>
      </c>
      <c r="P84" t="s">
        <v>546</v>
      </c>
      <c r="Q84" t="s">
        <v>547</v>
      </c>
      <c r="R84" t="s">
        <v>544</v>
      </c>
    </row>
    <row r="85" spans="1:18" x14ac:dyDescent="0.2">
      <c r="A85" t="s">
        <v>553</v>
      </c>
      <c r="B85" t="s">
        <v>549</v>
      </c>
      <c r="C85">
        <v>1</v>
      </c>
      <c r="D85">
        <v>0</v>
      </c>
      <c r="E85" t="s">
        <v>192</v>
      </c>
      <c r="F85" t="s">
        <v>507</v>
      </c>
      <c r="G85" t="s">
        <v>200</v>
      </c>
      <c r="H85">
        <v>2568</v>
      </c>
      <c r="I85" t="s">
        <v>554</v>
      </c>
      <c r="J85">
        <v>12918</v>
      </c>
      <c r="K85" t="s">
        <v>533</v>
      </c>
      <c r="L85">
        <v>195.23041666669999</v>
      </c>
      <c r="M85">
        <v>27.975041666669998</v>
      </c>
      <c r="N85">
        <v>7</v>
      </c>
      <c r="O85">
        <v>4746.9565000000002</v>
      </c>
      <c r="P85" t="s">
        <v>555</v>
      </c>
      <c r="Q85" t="s">
        <v>556</v>
      </c>
      <c r="R85" t="s">
        <v>553</v>
      </c>
    </row>
    <row r="86" spans="1:18" x14ac:dyDescent="0.2">
      <c r="A86" t="s">
        <v>562</v>
      </c>
      <c r="B86" t="s">
        <v>558</v>
      </c>
      <c r="C86">
        <v>1</v>
      </c>
      <c r="D86">
        <v>0</v>
      </c>
      <c r="E86" t="s">
        <v>192</v>
      </c>
      <c r="F86" t="s">
        <v>507</v>
      </c>
      <c r="G86" t="s">
        <v>200</v>
      </c>
      <c r="H86">
        <v>2568</v>
      </c>
      <c r="I86" t="s">
        <v>563</v>
      </c>
      <c r="J86">
        <v>12918</v>
      </c>
      <c r="K86" t="s">
        <v>533</v>
      </c>
      <c r="L86">
        <v>194.84041666670001</v>
      </c>
      <c r="M86">
        <v>27.975041666669998</v>
      </c>
      <c r="N86">
        <v>7</v>
      </c>
      <c r="O86">
        <v>4746.9565000000002</v>
      </c>
      <c r="P86" t="s">
        <v>564</v>
      </c>
      <c r="Q86" t="s">
        <v>565</v>
      </c>
      <c r="R86" t="s">
        <v>562</v>
      </c>
    </row>
    <row r="87" spans="1:18" x14ac:dyDescent="0.2">
      <c r="A87" t="s">
        <v>571</v>
      </c>
      <c r="B87" t="s">
        <v>567</v>
      </c>
      <c r="C87">
        <v>1</v>
      </c>
      <c r="D87">
        <v>0</v>
      </c>
      <c r="E87" t="s">
        <v>192</v>
      </c>
      <c r="F87" t="s">
        <v>507</v>
      </c>
      <c r="G87" t="s">
        <v>200</v>
      </c>
      <c r="H87">
        <v>2568</v>
      </c>
      <c r="I87" t="s">
        <v>572</v>
      </c>
      <c r="J87">
        <v>12918</v>
      </c>
      <c r="K87" t="s">
        <v>533</v>
      </c>
      <c r="L87">
        <v>194.89041666669999</v>
      </c>
      <c r="M87">
        <v>27.921986111110002</v>
      </c>
      <c r="N87">
        <v>7</v>
      </c>
      <c r="O87">
        <v>4746.9565000000002</v>
      </c>
      <c r="P87" t="s">
        <v>573</v>
      </c>
      <c r="Q87" t="s">
        <v>574</v>
      </c>
      <c r="R87" t="s">
        <v>571</v>
      </c>
    </row>
    <row r="88" spans="1:18" x14ac:dyDescent="0.2">
      <c r="A88" t="s">
        <v>580</v>
      </c>
      <c r="B88" t="s">
        <v>576</v>
      </c>
      <c r="C88">
        <v>1</v>
      </c>
      <c r="D88">
        <v>0</v>
      </c>
      <c r="E88" t="s">
        <v>192</v>
      </c>
      <c r="F88" t="s">
        <v>507</v>
      </c>
      <c r="G88" t="s">
        <v>200</v>
      </c>
      <c r="H88">
        <v>2568</v>
      </c>
      <c r="I88" t="s">
        <v>581</v>
      </c>
      <c r="J88">
        <v>12918</v>
      </c>
      <c r="K88" t="s">
        <v>533</v>
      </c>
      <c r="L88">
        <v>194.82541666669999</v>
      </c>
      <c r="M88">
        <v>27.921986111110002</v>
      </c>
      <c r="N88">
        <v>7</v>
      </c>
      <c r="O88">
        <v>4746.9565000000002</v>
      </c>
      <c r="P88" t="s">
        <v>582</v>
      </c>
      <c r="Q88" t="s">
        <v>583</v>
      </c>
      <c r="R88" t="s">
        <v>580</v>
      </c>
    </row>
  </sheetData>
  <autoFilter ref="A1:T88" xr:uid="{7A15E941-A130-BC4D-98D2-C912CE96FA8E}">
    <sortState xmlns:xlrd2="http://schemas.microsoft.com/office/spreadsheetml/2017/richdata2" ref="A2:T88">
      <sortCondition ref="G5:G8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939E-8F5A-EC4B-ACE0-DC8D8D4049F9}">
  <dimension ref="A1:AE113"/>
  <sheetViews>
    <sheetView tabSelected="1" zoomScale="120" zoomScaleNormal="120" workbookViewId="0">
      <pane ySplit="3" topLeftCell="A4" activePane="bottomLeft" state="frozen"/>
      <selection pane="bottomLeft" activeCell="Y103" sqref="Y103"/>
    </sheetView>
  </sheetViews>
  <sheetFormatPr baseColWidth="10" defaultRowHeight="16" x14ac:dyDescent="0.2"/>
  <cols>
    <col min="1" max="1" width="25.83203125" bestFit="1" customWidth="1"/>
    <col min="2" max="2" width="7.1640625" bestFit="1" customWidth="1"/>
    <col min="3" max="3" width="9.6640625" bestFit="1" customWidth="1"/>
    <col min="4" max="4" width="10.1640625" bestFit="1" customWidth="1"/>
    <col min="5" max="5" width="7.5" bestFit="1" customWidth="1"/>
    <col min="6" max="6" width="9.1640625" bestFit="1" customWidth="1"/>
    <col min="7" max="7" width="11.1640625" bestFit="1" customWidth="1"/>
    <col min="8" max="8" width="9.5" bestFit="1" customWidth="1"/>
    <col min="9" max="9" width="7.83203125" bestFit="1" customWidth="1"/>
    <col min="10" max="11" width="12.1640625" bestFit="1" customWidth="1"/>
    <col min="12" max="12" width="14" bestFit="1" customWidth="1"/>
    <col min="13" max="13" width="10" bestFit="1" customWidth="1"/>
    <col min="14" max="14" width="15.1640625" bestFit="1" customWidth="1"/>
    <col min="15" max="15" width="10.33203125" bestFit="1" customWidth="1"/>
    <col min="16" max="16" width="14.6640625" bestFit="1" customWidth="1"/>
    <col min="17" max="17" width="10.6640625" bestFit="1" customWidth="1"/>
    <col min="18" max="18" width="12.1640625" bestFit="1" customWidth="1"/>
    <col min="19" max="20" width="14.33203125" bestFit="1" customWidth="1"/>
    <col min="21" max="21" width="12.1640625" bestFit="1" customWidth="1"/>
    <col min="22" max="22" width="13" bestFit="1" customWidth="1"/>
    <col min="23" max="23" width="12.1640625" bestFit="1" customWidth="1"/>
    <col min="24" max="24" width="16.5" bestFit="1" customWidth="1"/>
    <col min="25" max="26" width="12.1640625" bestFit="1" customWidth="1"/>
    <col min="27" max="27" width="13.1640625" bestFit="1" customWidth="1"/>
    <col min="28" max="28" width="12.1640625" bestFit="1" customWidth="1"/>
    <col min="29" max="30" width="14.6640625" bestFit="1" customWidth="1"/>
    <col min="31" max="31" width="7.6640625" bestFit="1" customWidth="1"/>
  </cols>
  <sheetData>
    <row r="1" spans="1:31" x14ac:dyDescent="0.2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</row>
    <row r="2" spans="1:31" x14ac:dyDescent="0.2">
      <c r="A2" s="1" t="s">
        <v>137</v>
      </c>
      <c r="B2">
        <v>11.49</v>
      </c>
      <c r="C2">
        <v>15.3</v>
      </c>
      <c r="D2" t="b">
        <v>1</v>
      </c>
      <c r="E2">
        <v>6446</v>
      </c>
      <c r="F2">
        <v>2.1502E-2</v>
      </c>
      <c r="G2">
        <v>92.087677999999997</v>
      </c>
      <c r="H2">
        <v>0.47699999999999998</v>
      </c>
      <c r="I2">
        <v>-23.509999999999899</v>
      </c>
      <c r="J2">
        <v>7.3213291710000004</v>
      </c>
      <c r="K2">
        <v>18560.511190000001</v>
      </c>
      <c r="L2">
        <v>5199</v>
      </c>
      <c r="M2">
        <v>72.099999999999994</v>
      </c>
      <c r="N2">
        <v>135</v>
      </c>
      <c r="O2">
        <v>11.6</v>
      </c>
      <c r="P2">
        <v>5334</v>
      </c>
      <c r="Q2">
        <v>73</v>
      </c>
      <c r="R2">
        <v>0.28738432600000002</v>
      </c>
      <c r="S2" t="s">
        <v>137</v>
      </c>
      <c r="T2" t="s">
        <v>138</v>
      </c>
      <c r="U2">
        <v>2.1040352489999998</v>
      </c>
      <c r="V2">
        <v>2.8441984999999999E-2</v>
      </c>
      <c r="W2">
        <v>6.0115292839999999</v>
      </c>
      <c r="X2">
        <v>8.1262815000000002E-2</v>
      </c>
      <c r="Y2">
        <v>195.0337375</v>
      </c>
      <c r="Z2">
        <v>27.977024999999902</v>
      </c>
      <c r="AA2" t="s">
        <v>35</v>
      </c>
      <c r="AB2">
        <v>11.300000190734799</v>
      </c>
      <c r="AC2">
        <v>2.8</v>
      </c>
      <c r="AD2">
        <v>2</v>
      </c>
      <c r="AE2">
        <v>80</v>
      </c>
    </row>
    <row r="3" spans="1:31" x14ac:dyDescent="0.2">
      <c r="A3" s="1" t="s">
        <v>127</v>
      </c>
      <c r="B3">
        <v>11.68</v>
      </c>
      <c r="C3">
        <v>19.399999999999999</v>
      </c>
      <c r="D3" t="b">
        <v>1</v>
      </c>
      <c r="E3">
        <v>7168</v>
      </c>
      <c r="F3">
        <v>2.3907000000000001E-2</v>
      </c>
      <c r="G3">
        <v>102.38769000000001</v>
      </c>
      <c r="H3">
        <v>0.23899999999999999</v>
      </c>
      <c r="I3">
        <v>-23.32</v>
      </c>
      <c r="J3">
        <v>6.5903918020000001</v>
      </c>
      <c r="K3">
        <v>14025.270119999999</v>
      </c>
      <c r="L3">
        <v>5655</v>
      </c>
      <c r="M3">
        <v>75.2</v>
      </c>
      <c r="N3">
        <v>120</v>
      </c>
      <c r="O3">
        <v>11</v>
      </c>
      <c r="P3">
        <v>5775</v>
      </c>
      <c r="Q3">
        <v>76</v>
      </c>
      <c r="R3">
        <v>0.41175677500000002</v>
      </c>
      <c r="S3" t="s">
        <v>127</v>
      </c>
      <c r="T3" t="s">
        <v>128</v>
      </c>
      <c r="U3">
        <v>2.7136384769999999</v>
      </c>
      <c r="V3">
        <v>3.5335911999999997E-2</v>
      </c>
      <c r="W3">
        <v>7.7532527919999996</v>
      </c>
      <c r="X3">
        <v>0.100959749</v>
      </c>
      <c r="Y3">
        <v>194.89878906844999</v>
      </c>
      <c r="Z3">
        <v>27.959248303390002</v>
      </c>
      <c r="AA3" t="s">
        <v>35</v>
      </c>
      <c r="AB3">
        <v>12.7100000381469</v>
      </c>
      <c r="AC3">
        <v>2.4</v>
      </c>
      <c r="AD3">
        <v>2.4</v>
      </c>
    </row>
    <row r="4" spans="1:31" x14ac:dyDescent="0.2">
      <c r="A4" s="1" t="s">
        <v>169</v>
      </c>
      <c r="B4">
        <v>19.643999999999998</v>
      </c>
      <c r="D4" t="b">
        <v>0</v>
      </c>
      <c r="I4">
        <v>-15.356</v>
      </c>
      <c r="Y4">
        <v>195.22979166666599</v>
      </c>
      <c r="Z4">
        <v>27.990777777777701</v>
      </c>
      <c r="AA4" t="s">
        <v>35</v>
      </c>
      <c r="AB4">
        <v>19.643999099731399</v>
      </c>
      <c r="AC4">
        <v>3.65</v>
      </c>
      <c r="AD4">
        <v>2.66</v>
      </c>
      <c r="AE4">
        <v>44</v>
      </c>
    </row>
    <row r="5" spans="1:31" x14ac:dyDescent="0.2">
      <c r="A5" s="1" t="s">
        <v>49</v>
      </c>
      <c r="B5">
        <v>18.920000000000002</v>
      </c>
      <c r="D5" t="b">
        <v>0</v>
      </c>
      <c r="I5">
        <v>-16.079999999999998</v>
      </c>
      <c r="Y5">
        <v>195.26935</v>
      </c>
      <c r="Z5">
        <v>28.039093000000001</v>
      </c>
      <c r="AA5" t="s">
        <v>35</v>
      </c>
      <c r="AB5">
        <v>18.920000076293899</v>
      </c>
      <c r="AC5">
        <v>4.0199999999999996</v>
      </c>
      <c r="AD5">
        <v>3.52</v>
      </c>
      <c r="AE5">
        <v>169.3</v>
      </c>
    </row>
    <row r="6" spans="1:31" x14ac:dyDescent="0.2">
      <c r="A6" s="1" t="s">
        <v>145</v>
      </c>
      <c r="B6">
        <v>13.18</v>
      </c>
      <c r="C6">
        <v>10.71</v>
      </c>
      <c r="D6" t="b">
        <v>1</v>
      </c>
      <c r="E6">
        <v>4903</v>
      </c>
      <c r="F6">
        <v>1.6621E-2</v>
      </c>
      <c r="G6">
        <v>71.183577999999997</v>
      </c>
      <c r="H6">
        <v>6.3E-2</v>
      </c>
      <c r="I6">
        <v>-21.82</v>
      </c>
      <c r="J6">
        <v>2.6743208780000001</v>
      </c>
      <c r="K6">
        <v>1429.5966269999999</v>
      </c>
      <c r="L6">
        <v>343</v>
      </c>
      <c r="M6">
        <v>18.5</v>
      </c>
      <c r="N6">
        <v>3</v>
      </c>
      <c r="O6">
        <v>1.7</v>
      </c>
      <c r="P6">
        <v>346</v>
      </c>
      <c r="Q6">
        <v>18.600000000000001</v>
      </c>
      <c r="R6">
        <v>0.24202631299999999</v>
      </c>
      <c r="S6" t="s">
        <v>145</v>
      </c>
      <c r="T6" t="s">
        <v>146</v>
      </c>
      <c r="U6">
        <v>0.64725602100000001</v>
      </c>
      <c r="V6">
        <v>3.4645518E-2</v>
      </c>
      <c r="W6">
        <v>1.8493029160000001</v>
      </c>
      <c r="X6">
        <v>9.8987194000000001E-2</v>
      </c>
      <c r="Y6">
        <v>195.21476199116901</v>
      </c>
      <c r="Z6">
        <v>28.042873939610001</v>
      </c>
      <c r="AA6" t="s">
        <v>35</v>
      </c>
      <c r="AB6">
        <v>13.579999923706</v>
      </c>
      <c r="AC6">
        <v>1.1000000000000001</v>
      </c>
      <c r="AD6">
        <v>0.9</v>
      </c>
    </row>
    <row r="7" spans="1:31" x14ac:dyDescent="0.2">
      <c r="A7" s="1" t="s">
        <v>147</v>
      </c>
      <c r="B7">
        <v>17.692</v>
      </c>
      <c r="D7" t="b">
        <v>0</v>
      </c>
      <c r="I7">
        <v>-17.308</v>
      </c>
      <c r="Y7">
        <v>194.84755666232999</v>
      </c>
      <c r="Z7">
        <v>27.919572499249998</v>
      </c>
      <c r="AA7" t="s">
        <v>35</v>
      </c>
      <c r="AB7">
        <v>17.691999435424801</v>
      </c>
      <c r="AC7">
        <v>4.46</v>
      </c>
      <c r="AD7">
        <v>3.79</v>
      </c>
      <c r="AE7">
        <v>166</v>
      </c>
    </row>
    <row r="8" spans="1:31" x14ac:dyDescent="0.2">
      <c r="A8" s="1" t="s">
        <v>91</v>
      </c>
      <c r="B8">
        <v>18.38</v>
      </c>
      <c r="D8" t="b">
        <v>0</v>
      </c>
      <c r="I8">
        <v>-16.62</v>
      </c>
      <c r="Y8">
        <v>194.933666666666</v>
      </c>
      <c r="Z8">
        <v>28.013000000000002</v>
      </c>
      <c r="AA8" t="s">
        <v>35</v>
      </c>
      <c r="AB8">
        <v>18.620000839233398</v>
      </c>
      <c r="AC8">
        <v>4.51</v>
      </c>
      <c r="AD8">
        <v>3.43</v>
      </c>
      <c r="AE8">
        <v>104.1</v>
      </c>
    </row>
    <row r="9" spans="1:31" x14ac:dyDescent="0.2">
      <c r="A9" s="1" t="s">
        <v>50</v>
      </c>
      <c r="B9">
        <v>18.73</v>
      </c>
      <c r="D9" t="b">
        <v>0</v>
      </c>
      <c r="I9">
        <v>-16.27</v>
      </c>
      <c r="Y9">
        <v>195.26299999999901</v>
      </c>
      <c r="Z9">
        <v>28.0262279999999</v>
      </c>
      <c r="AA9" t="s">
        <v>35</v>
      </c>
      <c r="AB9">
        <v>19.0100002288818</v>
      </c>
      <c r="AC9">
        <v>4.62</v>
      </c>
      <c r="AD9">
        <v>2.89</v>
      </c>
      <c r="AE9">
        <v>66.7</v>
      </c>
    </row>
    <row r="10" spans="1:31" x14ac:dyDescent="0.2">
      <c r="A10" s="1" t="s">
        <v>152</v>
      </c>
      <c r="B10">
        <v>18.03</v>
      </c>
      <c r="D10" t="b">
        <v>0</v>
      </c>
      <c r="I10">
        <v>-16.97</v>
      </c>
      <c r="Y10">
        <v>195.034666666666</v>
      </c>
      <c r="Z10">
        <v>27.954916666666598</v>
      </c>
      <c r="AA10" t="s">
        <v>35</v>
      </c>
      <c r="AB10">
        <v>18.030000686645501</v>
      </c>
      <c r="AC10">
        <v>4.84</v>
      </c>
      <c r="AD10">
        <v>4.5</v>
      </c>
      <c r="AE10">
        <v>145.6</v>
      </c>
    </row>
    <row r="11" spans="1:31" x14ac:dyDescent="0.2">
      <c r="A11" s="1" t="s">
        <v>121</v>
      </c>
      <c r="B11">
        <v>14.14</v>
      </c>
      <c r="C11">
        <v>7.4710349999999996</v>
      </c>
      <c r="D11" t="b">
        <v>1</v>
      </c>
      <c r="E11">
        <v>6795</v>
      </c>
      <c r="F11">
        <v>2.2665999999999999E-2</v>
      </c>
      <c r="G11">
        <v>97.072798000000006</v>
      </c>
      <c r="H11">
        <v>0.08</v>
      </c>
      <c r="I11">
        <v>-20.86</v>
      </c>
      <c r="J11">
        <v>1.5953383590000001</v>
      </c>
      <c r="K11">
        <v>352.25146469999999</v>
      </c>
      <c r="L11">
        <v>1022</v>
      </c>
      <c r="M11">
        <v>32</v>
      </c>
      <c r="N11">
        <v>23</v>
      </c>
      <c r="O11">
        <v>4.8</v>
      </c>
      <c r="P11">
        <v>1045</v>
      </c>
      <c r="Q11">
        <v>32.299999999999997</v>
      </c>
      <c r="R11">
        <v>2.9666306740000001</v>
      </c>
      <c r="S11" t="s">
        <v>122</v>
      </c>
      <c r="T11" t="s">
        <v>122</v>
      </c>
      <c r="U11">
        <v>4.73277971</v>
      </c>
      <c r="V11">
        <v>0.144785627</v>
      </c>
      <c r="W11">
        <v>13.52222774</v>
      </c>
      <c r="X11">
        <v>0.41367322000000001</v>
      </c>
      <c r="Y11">
        <v>194.874846259669</v>
      </c>
      <c r="Z11">
        <v>27.95643601638</v>
      </c>
      <c r="AA11" t="s">
        <v>35</v>
      </c>
      <c r="AB11">
        <v>14.069999694824199</v>
      </c>
      <c r="AC11">
        <v>0.4</v>
      </c>
      <c r="AD11">
        <v>0.25</v>
      </c>
    </row>
    <row r="12" spans="1:31" x14ac:dyDescent="0.2">
      <c r="A12" s="1" t="s">
        <v>83</v>
      </c>
      <c r="B12">
        <v>16.809999999999999</v>
      </c>
      <c r="D12" t="b">
        <v>0</v>
      </c>
      <c r="I12">
        <v>-18.190000000000001</v>
      </c>
      <c r="Y12">
        <v>195.090290992169</v>
      </c>
      <c r="Z12">
        <v>27.898551648969999</v>
      </c>
      <c r="AA12" t="s">
        <v>35</v>
      </c>
      <c r="AB12">
        <v>16.809999465942301</v>
      </c>
      <c r="AC12">
        <v>5</v>
      </c>
      <c r="AE12">
        <v>90</v>
      </c>
    </row>
    <row r="13" spans="1:31" x14ac:dyDescent="0.2">
      <c r="A13" s="1" t="s">
        <v>123</v>
      </c>
      <c r="B13">
        <v>14.41</v>
      </c>
      <c r="C13">
        <v>2.71</v>
      </c>
      <c r="D13" t="b">
        <v>1</v>
      </c>
      <c r="E13">
        <v>7180</v>
      </c>
      <c r="F13">
        <v>2.3949999999999999E-2</v>
      </c>
      <c r="G13">
        <v>102.571848</v>
      </c>
      <c r="H13">
        <v>0.10100000000000001</v>
      </c>
      <c r="I13">
        <v>-20.59</v>
      </c>
      <c r="J13">
        <v>1.4490796560000001</v>
      </c>
      <c r="K13">
        <v>249.51247230000001</v>
      </c>
      <c r="L13">
        <v>171</v>
      </c>
      <c r="M13">
        <v>13.1</v>
      </c>
      <c r="N13">
        <v>7</v>
      </c>
      <c r="O13">
        <v>2.6</v>
      </c>
      <c r="P13">
        <v>178</v>
      </c>
      <c r="Q13">
        <v>13.3</v>
      </c>
      <c r="R13">
        <v>0.71339119200000001</v>
      </c>
      <c r="S13" t="s">
        <v>123</v>
      </c>
      <c r="T13" t="s">
        <v>124</v>
      </c>
      <c r="U13">
        <v>1.033760663</v>
      </c>
      <c r="V13">
        <v>7.5944803000000005E-2</v>
      </c>
      <c r="W13">
        <v>2.9536018949999998</v>
      </c>
      <c r="X13">
        <v>0.21698515199999999</v>
      </c>
      <c r="Y13">
        <v>194.89217171503</v>
      </c>
      <c r="Z13">
        <v>27.94685519906</v>
      </c>
      <c r="AA13" t="s">
        <v>35</v>
      </c>
      <c r="AB13">
        <v>14.1000003814697</v>
      </c>
      <c r="AC13">
        <v>0.25</v>
      </c>
      <c r="AD13">
        <v>0.2</v>
      </c>
    </row>
    <row r="14" spans="1:31" x14ac:dyDescent="0.2">
      <c r="A14" s="1" t="s">
        <v>38</v>
      </c>
      <c r="B14">
        <v>17.02</v>
      </c>
      <c r="D14" t="b">
        <v>0</v>
      </c>
      <c r="I14">
        <v>-17.98</v>
      </c>
      <c r="Y14">
        <v>194.85557934600899</v>
      </c>
      <c r="Z14">
        <v>27.934492324930002</v>
      </c>
      <c r="AA14" t="s">
        <v>35</v>
      </c>
      <c r="AB14">
        <v>17.020000457763601</v>
      </c>
      <c r="AC14">
        <v>5</v>
      </c>
      <c r="AE14">
        <v>90</v>
      </c>
    </row>
    <row r="15" spans="1:31" x14ac:dyDescent="0.2">
      <c r="A15" s="1" t="s">
        <v>84</v>
      </c>
      <c r="B15">
        <v>17.36</v>
      </c>
      <c r="D15" t="b">
        <v>0</v>
      </c>
      <c r="I15">
        <v>-17.64</v>
      </c>
      <c r="Y15">
        <v>195.078690722739</v>
      </c>
      <c r="Z15">
        <v>28.009312621699902</v>
      </c>
      <c r="AA15" t="s">
        <v>35</v>
      </c>
      <c r="AB15">
        <v>17.360000610351499</v>
      </c>
      <c r="AC15">
        <v>5</v>
      </c>
      <c r="AE15">
        <v>90</v>
      </c>
    </row>
    <row r="16" spans="1:31" x14ac:dyDescent="0.2">
      <c r="A16" s="1" t="s">
        <v>41</v>
      </c>
      <c r="B16">
        <v>17.405999999999999</v>
      </c>
      <c r="D16" t="b">
        <v>0</v>
      </c>
      <c r="I16">
        <v>-17.594000000000001</v>
      </c>
      <c r="Y16">
        <v>195.043166666666</v>
      </c>
      <c r="Z16">
        <v>27.9592416666666</v>
      </c>
      <c r="AA16" t="s">
        <v>35</v>
      </c>
      <c r="AB16">
        <v>17.406000137329102</v>
      </c>
      <c r="AC16">
        <v>5</v>
      </c>
      <c r="AE16">
        <v>35</v>
      </c>
    </row>
    <row r="17" spans="1:31" x14ac:dyDescent="0.2">
      <c r="A17" s="1" t="s">
        <v>133</v>
      </c>
      <c r="B17">
        <v>13.86</v>
      </c>
      <c r="C17">
        <v>4.5</v>
      </c>
      <c r="D17" t="b">
        <v>1</v>
      </c>
      <c r="E17">
        <v>6371</v>
      </c>
      <c r="F17">
        <v>2.1250999999999999E-2</v>
      </c>
      <c r="G17">
        <v>91.012707000000006</v>
      </c>
      <c r="H17">
        <v>0.28299999999999997</v>
      </c>
      <c r="I17">
        <v>-21.14</v>
      </c>
      <c r="J17">
        <v>1.81488703</v>
      </c>
      <c r="K17">
        <v>518.62040149999996</v>
      </c>
      <c r="L17">
        <v>785</v>
      </c>
      <c r="M17">
        <v>28</v>
      </c>
      <c r="N17">
        <v>26</v>
      </c>
      <c r="O17">
        <v>5.0999999999999996</v>
      </c>
      <c r="P17">
        <v>811</v>
      </c>
      <c r="Q17">
        <v>28.5</v>
      </c>
      <c r="R17">
        <v>1.563764167</v>
      </c>
      <c r="S17" t="s">
        <v>134</v>
      </c>
      <c r="T17" t="s">
        <v>134</v>
      </c>
      <c r="U17">
        <v>2.8380553050000001</v>
      </c>
      <c r="V17">
        <v>9.8047115000000004E-2</v>
      </c>
      <c r="W17">
        <v>8.1087294419999996</v>
      </c>
      <c r="X17">
        <v>0.280134616</v>
      </c>
      <c r="Y17">
        <v>195.01853930585901</v>
      </c>
      <c r="Z17">
        <v>27.9875851311199</v>
      </c>
      <c r="AA17" t="s">
        <v>35</v>
      </c>
      <c r="AB17">
        <v>14.293999671936</v>
      </c>
      <c r="AC17">
        <v>0.3</v>
      </c>
      <c r="AD17">
        <v>0.3</v>
      </c>
    </row>
    <row r="18" spans="1:31" x14ac:dyDescent="0.2">
      <c r="A18" s="1" t="s">
        <v>99</v>
      </c>
      <c r="B18">
        <v>14.33</v>
      </c>
      <c r="D18" t="b">
        <v>0</v>
      </c>
      <c r="I18">
        <v>-20.67</v>
      </c>
      <c r="Y18">
        <v>195.07540991933899</v>
      </c>
      <c r="Z18">
        <v>27.956592492190001</v>
      </c>
      <c r="AA18" t="s">
        <v>35</v>
      </c>
      <c r="AB18">
        <v>14.333000183105399</v>
      </c>
    </row>
    <row r="19" spans="1:31" x14ac:dyDescent="0.2">
      <c r="A19" s="1" t="s">
        <v>44</v>
      </c>
      <c r="B19">
        <v>19.059999999999999</v>
      </c>
      <c r="D19" t="b">
        <v>0</v>
      </c>
      <c r="I19">
        <v>-15.94</v>
      </c>
      <c r="Y19">
        <v>195.22764439706</v>
      </c>
      <c r="Z19">
        <v>27.99761966342</v>
      </c>
      <c r="AA19" t="s">
        <v>35</v>
      </c>
      <c r="AB19">
        <v>19.059999465942301</v>
      </c>
      <c r="AC19">
        <v>5</v>
      </c>
      <c r="AE19">
        <v>90</v>
      </c>
    </row>
    <row r="20" spans="1:31" x14ac:dyDescent="0.2">
      <c r="A20" s="1" t="s">
        <v>92</v>
      </c>
      <c r="B20">
        <v>18.62</v>
      </c>
      <c r="D20" t="b">
        <v>0</v>
      </c>
      <c r="I20">
        <v>-16.38</v>
      </c>
      <c r="Y20">
        <v>194.90421277708899</v>
      </c>
      <c r="Z20">
        <v>28.018604034409901</v>
      </c>
      <c r="AA20" t="s">
        <v>35</v>
      </c>
      <c r="AB20">
        <v>17.659999847412099</v>
      </c>
      <c r="AC20">
        <v>5.15</v>
      </c>
      <c r="AD20">
        <v>4.78</v>
      </c>
      <c r="AE20">
        <v>18.399999999999999</v>
      </c>
    </row>
    <row r="21" spans="1:31" x14ac:dyDescent="0.2">
      <c r="A21" s="1" t="s">
        <v>168</v>
      </c>
      <c r="B21">
        <v>18.603999999999999</v>
      </c>
      <c r="D21" t="b">
        <v>0</v>
      </c>
      <c r="I21">
        <v>-16.396000000000001</v>
      </c>
      <c r="Y21">
        <v>195.0745</v>
      </c>
      <c r="Z21">
        <v>28.078916666666601</v>
      </c>
      <c r="AA21" t="s">
        <v>35</v>
      </c>
      <c r="AB21">
        <v>18.604000091552699</v>
      </c>
      <c r="AC21">
        <v>5.18</v>
      </c>
      <c r="AD21">
        <v>4.9800000000000004</v>
      </c>
      <c r="AE21">
        <v>81.3</v>
      </c>
    </row>
    <row r="22" spans="1:31" x14ac:dyDescent="0.2">
      <c r="A22" s="1" t="s">
        <v>156</v>
      </c>
      <c r="B22">
        <v>18.05</v>
      </c>
      <c r="D22" t="b">
        <v>0</v>
      </c>
      <c r="I22">
        <v>-16.95</v>
      </c>
      <c r="Y22">
        <v>195.10824199999999</v>
      </c>
      <c r="Z22">
        <v>28.062408999999999</v>
      </c>
      <c r="AA22" t="s">
        <v>35</v>
      </c>
      <c r="AB22">
        <v>18.049999237060501</v>
      </c>
      <c r="AC22">
        <v>5.22</v>
      </c>
      <c r="AD22">
        <v>4.91</v>
      </c>
      <c r="AE22">
        <v>58.9</v>
      </c>
    </row>
    <row r="23" spans="1:31" x14ac:dyDescent="0.2">
      <c r="A23" s="1" t="s">
        <v>159</v>
      </c>
      <c r="B23">
        <v>18.52</v>
      </c>
      <c r="D23" t="b">
        <v>0</v>
      </c>
      <c r="I23">
        <v>-16.48</v>
      </c>
      <c r="Y23">
        <v>195.135345</v>
      </c>
      <c r="Z23">
        <v>27.975892999999999</v>
      </c>
      <c r="AA23" t="s">
        <v>35</v>
      </c>
      <c r="AB23">
        <v>18.520000457763601</v>
      </c>
      <c r="AC23">
        <v>5.28</v>
      </c>
      <c r="AD23">
        <v>3.71</v>
      </c>
      <c r="AE23">
        <v>33.200000000000003</v>
      </c>
    </row>
    <row r="24" spans="1:31" x14ac:dyDescent="0.2">
      <c r="A24" s="1" t="s">
        <v>160</v>
      </c>
      <c r="B24">
        <v>17.93</v>
      </c>
      <c r="D24" t="b">
        <v>0</v>
      </c>
      <c r="I24">
        <v>-17.07</v>
      </c>
      <c r="Y24">
        <v>195.13889399999999</v>
      </c>
      <c r="Z24">
        <v>27.980364000000002</v>
      </c>
      <c r="AA24" t="s">
        <v>35</v>
      </c>
      <c r="AB24">
        <v>17.9300003051757</v>
      </c>
      <c r="AC24">
        <v>5.6</v>
      </c>
      <c r="AD24">
        <v>5.2</v>
      </c>
      <c r="AE24">
        <v>43.6</v>
      </c>
    </row>
    <row r="25" spans="1:31" x14ac:dyDescent="0.2">
      <c r="A25" s="1" t="s">
        <v>158</v>
      </c>
      <c r="B25">
        <v>19.309999999999999</v>
      </c>
      <c r="D25" t="b">
        <v>0</v>
      </c>
      <c r="I25">
        <v>-15.69</v>
      </c>
      <c r="Y25">
        <v>195.114881</v>
      </c>
      <c r="Z25">
        <v>28.056650000000001</v>
      </c>
      <c r="AA25" t="s">
        <v>35</v>
      </c>
      <c r="AB25">
        <v>19.309999465942301</v>
      </c>
      <c r="AC25">
        <v>5.61</v>
      </c>
      <c r="AD25">
        <v>4.32</v>
      </c>
      <c r="AE25">
        <v>74.900000000000006</v>
      </c>
    </row>
    <row r="26" spans="1:31" x14ac:dyDescent="0.2">
      <c r="A26" s="1" t="s">
        <v>109</v>
      </c>
      <c r="B26">
        <v>15.42</v>
      </c>
      <c r="D26" t="b">
        <v>0</v>
      </c>
      <c r="I26">
        <v>-19.579999999999998</v>
      </c>
      <c r="Y26">
        <v>195.02249754605899</v>
      </c>
      <c r="Z26">
        <v>28.024446053870001</v>
      </c>
      <c r="AA26" t="s">
        <v>35</v>
      </c>
      <c r="AB26">
        <v>15.420000076293899</v>
      </c>
      <c r="AC26">
        <v>5.9</v>
      </c>
      <c r="AE26">
        <v>-20</v>
      </c>
    </row>
    <row r="27" spans="1:31" x14ac:dyDescent="0.2">
      <c r="A27" s="1" t="s">
        <v>80</v>
      </c>
      <c r="B27">
        <v>17.96</v>
      </c>
      <c r="D27" t="b">
        <v>0</v>
      </c>
      <c r="I27">
        <v>-17.04</v>
      </c>
      <c r="Y27">
        <v>195.24512999999999</v>
      </c>
      <c r="Z27">
        <v>28.0268290833333</v>
      </c>
      <c r="AA27" t="s">
        <v>35</v>
      </c>
      <c r="AB27">
        <v>17.959999084472599</v>
      </c>
      <c r="AC27">
        <v>5.97</v>
      </c>
      <c r="AD27">
        <v>5.22</v>
      </c>
      <c r="AE27">
        <v>82.8</v>
      </c>
    </row>
    <row r="28" spans="1:31" x14ac:dyDescent="0.2">
      <c r="A28" s="1" t="s">
        <v>166</v>
      </c>
      <c r="B28">
        <v>15.42</v>
      </c>
      <c r="D28" t="b">
        <v>0</v>
      </c>
      <c r="I28">
        <v>-19.579999999999998</v>
      </c>
      <c r="Y28">
        <v>194.92626325621899</v>
      </c>
      <c r="Z28">
        <v>27.924742573269999</v>
      </c>
      <c r="AA28" t="s">
        <v>35</v>
      </c>
      <c r="AB28">
        <v>15.420000076293899</v>
      </c>
      <c r="AC28">
        <v>6.1</v>
      </c>
      <c r="AE28">
        <v>-60</v>
      </c>
    </row>
    <row r="29" spans="1:31" x14ac:dyDescent="0.2">
      <c r="A29" s="1" t="s">
        <v>39</v>
      </c>
      <c r="B29">
        <v>16.05</v>
      </c>
      <c r="D29" t="b">
        <v>0</v>
      </c>
      <c r="I29">
        <v>-18.95</v>
      </c>
      <c r="Y29">
        <v>194.95877298073901</v>
      </c>
      <c r="Z29">
        <v>27.92484964126</v>
      </c>
      <c r="AA29" t="s">
        <v>35</v>
      </c>
      <c r="AB29">
        <v>16.049999237060501</v>
      </c>
      <c r="AC29">
        <v>6.5</v>
      </c>
      <c r="AE29">
        <v>-55</v>
      </c>
    </row>
    <row r="30" spans="1:31" x14ac:dyDescent="0.2">
      <c r="A30" s="1" t="s">
        <v>39</v>
      </c>
      <c r="B30">
        <v>16.05</v>
      </c>
      <c r="D30" t="b">
        <v>0</v>
      </c>
      <c r="I30">
        <v>-18.95</v>
      </c>
      <c r="Y30">
        <v>194.95877298073901</v>
      </c>
      <c r="Z30">
        <v>27.92484964126</v>
      </c>
      <c r="AA30" t="s">
        <v>35</v>
      </c>
      <c r="AB30">
        <v>16.049999237060501</v>
      </c>
      <c r="AC30">
        <v>6.5</v>
      </c>
      <c r="AE30">
        <v>-55</v>
      </c>
    </row>
    <row r="31" spans="1:31" x14ac:dyDescent="0.2">
      <c r="A31" s="1" t="s">
        <v>39</v>
      </c>
      <c r="B31">
        <v>16.05</v>
      </c>
      <c r="D31" t="b">
        <v>0</v>
      </c>
      <c r="I31">
        <v>-18.95</v>
      </c>
      <c r="Y31">
        <v>194.95877298073901</v>
      </c>
      <c r="Z31">
        <v>27.92484964126</v>
      </c>
      <c r="AA31" t="s">
        <v>35</v>
      </c>
      <c r="AB31">
        <v>16.049999237060501</v>
      </c>
      <c r="AC31">
        <v>6.5</v>
      </c>
      <c r="AE31">
        <v>-55</v>
      </c>
    </row>
    <row r="32" spans="1:31" x14ac:dyDescent="0.2">
      <c r="A32" s="1" t="s">
        <v>106</v>
      </c>
      <c r="B32">
        <v>15.15</v>
      </c>
      <c r="D32" t="b">
        <v>0</v>
      </c>
      <c r="I32">
        <v>-19.850000000000001</v>
      </c>
      <c r="Y32">
        <v>194.93220379568899</v>
      </c>
      <c r="Z32">
        <v>27.99468293096</v>
      </c>
      <c r="AA32" t="s">
        <v>35</v>
      </c>
      <c r="AB32">
        <v>15.149999618530201</v>
      </c>
      <c r="AC32">
        <v>0.11</v>
      </c>
    </row>
    <row r="33" spans="1:31" x14ac:dyDescent="0.2">
      <c r="A33" s="1" t="s">
        <v>39</v>
      </c>
      <c r="B33">
        <v>16.05</v>
      </c>
      <c r="D33" t="b">
        <v>0</v>
      </c>
      <c r="I33">
        <v>-18.95</v>
      </c>
      <c r="Y33">
        <v>194.95877298073901</v>
      </c>
      <c r="Z33">
        <v>27.92484964126</v>
      </c>
      <c r="AA33" t="s">
        <v>35</v>
      </c>
      <c r="AB33">
        <v>16.049999237060501</v>
      </c>
      <c r="AC33">
        <v>6.5</v>
      </c>
      <c r="AE33">
        <v>-55</v>
      </c>
    </row>
    <row r="34" spans="1:31" x14ac:dyDescent="0.2">
      <c r="A34" s="1" t="s">
        <v>43</v>
      </c>
      <c r="B34">
        <v>16.847000000000001</v>
      </c>
      <c r="D34" t="b">
        <v>0</v>
      </c>
      <c r="I34">
        <v>-18.152999999999999</v>
      </c>
      <c r="Y34">
        <v>195.17154824535001</v>
      </c>
      <c r="Z34">
        <v>27.895029120499998</v>
      </c>
      <c r="AA34" t="s">
        <v>35</v>
      </c>
      <c r="AB34">
        <v>16.847000122070298</v>
      </c>
      <c r="AC34">
        <v>6.7</v>
      </c>
      <c r="AE34">
        <v>70</v>
      </c>
    </row>
    <row r="35" spans="1:31" x14ac:dyDescent="0.2">
      <c r="A35" s="1" t="s">
        <v>150</v>
      </c>
      <c r="B35">
        <v>17.8</v>
      </c>
      <c r="D35" t="b">
        <v>0</v>
      </c>
      <c r="I35">
        <v>-17.2</v>
      </c>
      <c r="Y35">
        <v>194.944639</v>
      </c>
      <c r="Z35">
        <v>28.000115999999998</v>
      </c>
      <c r="AA35" t="s">
        <v>35</v>
      </c>
      <c r="AB35">
        <v>17.799999237060501</v>
      </c>
      <c r="AC35">
        <v>6.74</v>
      </c>
      <c r="AD35">
        <v>5.68</v>
      </c>
      <c r="AE35">
        <v>133.9</v>
      </c>
    </row>
    <row r="36" spans="1:31" x14ac:dyDescent="0.2">
      <c r="A36" s="1" t="s">
        <v>95</v>
      </c>
      <c r="B36">
        <v>17.59</v>
      </c>
      <c r="D36" t="b">
        <v>0</v>
      </c>
      <c r="I36">
        <v>-17.41</v>
      </c>
      <c r="Y36">
        <v>194.88377083333299</v>
      </c>
      <c r="Z36">
        <v>27.9210416666666</v>
      </c>
      <c r="AA36" t="s">
        <v>35</v>
      </c>
      <c r="AB36">
        <v>17.590000152587798</v>
      </c>
      <c r="AC36">
        <v>6.79</v>
      </c>
      <c r="AD36">
        <v>5.9</v>
      </c>
      <c r="AE36">
        <v>111.2</v>
      </c>
    </row>
    <row r="37" spans="1:31" x14ac:dyDescent="0.2">
      <c r="A37" s="1" t="s">
        <v>36</v>
      </c>
      <c r="B37">
        <v>16.12</v>
      </c>
      <c r="D37" t="b">
        <v>0</v>
      </c>
      <c r="I37">
        <v>-18.88</v>
      </c>
      <c r="Y37">
        <v>194.839229985619</v>
      </c>
      <c r="Z37">
        <v>27.973574061000001</v>
      </c>
      <c r="AA37" t="s">
        <v>35</v>
      </c>
      <c r="AB37">
        <v>16.120000839233398</v>
      </c>
      <c r="AC37">
        <v>7</v>
      </c>
      <c r="AE37">
        <v>90</v>
      </c>
    </row>
    <row r="38" spans="1:31" x14ac:dyDescent="0.2">
      <c r="A38" s="1" t="s">
        <v>36</v>
      </c>
      <c r="B38">
        <v>16.12</v>
      </c>
      <c r="D38" t="b">
        <v>0</v>
      </c>
      <c r="I38">
        <v>-18.88</v>
      </c>
      <c r="Y38">
        <v>194.839229985619</v>
      </c>
      <c r="Z38">
        <v>27.973574061000001</v>
      </c>
      <c r="AA38" t="s">
        <v>35</v>
      </c>
      <c r="AB38">
        <v>16.120000839233398</v>
      </c>
      <c r="AC38">
        <v>7</v>
      </c>
      <c r="AE38">
        <v>90</v>
      </c>
    </row>
    <row r="39" spans="1:31" x14ac:dyDescent="0.2">
      <c r="A39" s="1" t="s">
        <v>36</v>
      </c>
      <c r="B39">
        <v>16.12</v>
      </c>
      <c r="D39" t="b">
        <v>0</v>
      </c>
      <c r="I39">
        <v>-18.88</v>
      </c>
      <c r="Y39">
        <v>194.839229985619</v>
      </c>
      <c r="Z39">
        <v>27.973574061000001</v>
      </c>
      <c r="AA39" t="s">
        <v>35</v>
      </c>
      <c r="AB39">
        <v>16.120000839233398</v>
      </c>
      <c r="AC39">
        <v>7</v>
      </c>
      <c r="AE39">
        <v>90</v>
      </c>
    </row>
    <row r="40" spans="1:31" x14ac:dyDescent="0.2">
      <c r="A40" s="1" t="s">
        <v>36</v>
      </c>
      <c r="B40">
        <v>16.12</v>
      </c>
      <c r="D40" t="b">
        <v>0</v>
      </c>
      <c r="I40">
        <v>-18.88</v>
      </c>
      <c r="Y40">
        <v>194.839229985619</v>
      </c>
      <c r="Z40">
        <v>27.973574061000001</v>
      </c>
      <c r="AA40" t="s">
        <v>35</v>
      </c>
      <c r="AB40">
        <v>16.120000839233398</v>
      </c>
      <c r="AC40">
        <v>7</v>
      </c>
      <c r="AE40">
        <v>90</v>
      </c>
    </row>
    <row r="41" spans="1:31" x14ac:dyDescent="0.2">
      <c r="A41" s="1" t="s">
        <v>149</v>
      </c>
      <c r="B41">
        <v>17.82</v>
      </c>
      <c r="D41" t="b">
        <v>0</v>
      </c>
      <c r="I41">
        <v>-17.18</v>
      </c>
      <c r="Y41">
        <v>194.87607</v>
      </c>
      <c r="Z41">
        <v>28.020844</v>
      </c>
      <c r="AA41" t="s">
        <v>35</v>
      </c>
      <c r="AB41">
        <v>17.819999694824201</v>
      </c>
      <c r="AC41">
        <v>7.04</v>
      </c>
      <c r="AD41">
        <v>4.95</v>
      </c>
      <c r="AE41">
        <v>28.4</v>
      </c>
    </row>
    <row r="42" spans="1:31" x14ac:dyDescent="0.2">
      <c r="A42" s="1" t="s">
        <v>162</v>
      </c>
      <c r="B42">
        <v>17.149999999999999</v>
      </c>
      <c r="D42" t="b">
        <v>0</v>
      </c>
      <c r="I42">
        <v>-17.850000000000001</v>
      </c>
      <c r="Y42">
        <v>195.17167543484899</v>
      </c>
      <c r="Z42">
        <v>28.045126613459999</v>
      </c>
      <c r="AA42" t="s">
        <v>35</v>
      </c>
      <c r="AB42">
        <v>17.149999618530199</v>
      </c>
      <c r="AC42">
        <v>7.07</v>
      </c>
      <c r="AD42">
        <v>5.68</v>
      </c>
      <c r="AE42">
        <v>3.5</v>
      </c>
    </row>
    <row r="43" spans="1:31" x14ac:dyDescent="0.2">
      <c r="A43" s="1" t="s">
        <v>100</v>
      </c>
      <c r="B43">
        <v>15.87</v>
      </c>
      <c r="D43" t="b">
        <v>0</v>
      </c>
      <c r="I43">
        <v>-19.13</v>
      </c>
      <c r="Y43">
        <v>194.86082575780901</v>
      </c>
      <c r="Z43">
        <v>27.9984814160299</v>
      </c>
      <c r="AA43" t="s">
        <v>35</v>
      </c>
      <c r="AB43">
        <v>15.869999885559</v>
      </c>
      <c r="AC43">
        <v>7.1</v>
      </c>
      <c r="AE43">
        <v>-10</v>
      </c>
    </row>
    <row r="44" spans="1:31" x14ac:dyDescent="0.2">
      <c r="A44" s="1" t="s">
        <v>103</v>
      </c>
      <c r="B44">
        <v>15.59</v>
      </c>
      <c r="D44" t="b">
        <v>0</v>
      </c>
      <c r="I44">
        <v>-19.41</v>
      </c>
      <c r="Y44">
        <v>194.91524614900999</v>
      </c>
      <c r="Z44">
        <v>27.953920922569999</v>
      </c>
      <c r="AA44" t="s">
        <v>35</v>
      </c>
      <c r="AB44">
        <v>15.5900001525878</v>
      </c>
      <c r="AC44">
        <v>0.71</v>
      </c>
    </row>
    <row r="45" spans="1:31" x14ac:dyDescent="0.2">
      <c r="A45" s="1" t="s">
        <v>89</v>
      </c>
      <c r="B45">
        <v>17.260000000000002</v>
      </c>
      <c r="D45" t="b">
        <v>0</v>
      </c>
      <c r="I45">
        <v>-17.739999999999998</v>
      </c>
      <c r="Y45">
        <v>195.01543799999899</v>
      </c>
      <c r="Z45">
        <v>27.964524999999998</v>
      </c>
      <c r="AA45" t="s">
        <v>35</v>
      </c>
      <c r="AB45">
        <v>17.2600002288818</v>
      </c>
      <c r="AC45">
        <v>7.15</v>
      </c>
      <c r="AD45">
        <v>6.25</v>
      </c>
      <c r="AE45">
        <v>121.7</v>
      </c>
    </row>
    <row r="46" spans="1:31" x14ac:dyDescent="0.2">
      <c r="A46" s="1" t="s">
        <v>154</v>
      </c>
      <c r="B46">
        <v>17.34</v>
      </c>
      <c r="D46" t="b">
        <v>0</v>
      </c>
      <c r="I46">
        <v>-17.66</v>
      </c>
      <c r="Y46">
        <v>195.076427</v>
      </c>
      <c r="Z46">
        <v>28.059287999999999</v>
      </c>
      <c r="AA46" t="s">
        <v>35</v>
      </c>
      <c r="AB46">
        <v>17.340000152587798</v>
      </c>
      <c r="AC46">
        <v>7.19</v>
      </c>
      <c r="AD46">
        <v>6.27</v>
      </c>
      <c r="AE46">
        <v>29.9</v>
      </c>
    </row>
    <row r="47" spans="1:31" x14ac:dyDescent="0.2">
      <c r="A47" s="1" t="s">
        <v>90</v>
      </c>
      <c r="B47">
        <v>17.43</v>
      </c>
      <c r="D47" t="b">
        <v>0</v>
      </c>
      <c r="I47">
        <v>-17.57</v>
      </c>
      <c r="Y47">
        <v>194.94555399999999</v>
      </c>
      <c r="Z47">
        <v>27.991911999999999</v>
      </c>
      <c r="AA47" t="s">
        <v>35</v>
      </c>
      <c r="AB47">
        <v>17.4300003051757</v>
      </c>
      <c r="AC47">
        <v>7.31</v>
      </c>
      <c r="AD47">
        <v>5.71</v>
      </c>
      <c r="AE47">
        <v>134.80000000000001</v>
      </c>
    </row>
    <row r="48" spans="1:31" x14ac:dyDescent="0.2">
      <c r="A48" s="1" t="s">
        <v>110</v>
      </c>
      <c r="B48">
        <v>15.99</v>
      </c>
      <c r="D48" t="b">
        <v>0</v>
      </c>
      <c r="I48">
        <v>-19.009999999999899</v>
      </c>
      <c r="Y48">
        <v>195.02544773316001</v>
      </c>
      <c r="Z48">
        <v>27.978315166390001</v>
      </c>
      <c r="AA48" t="s">
        <v>35</v>
      </c>
      <c r="AB48">
        <v>15.994000434875399</v>
      </c>
    </row>
    <row r="49" spans="1:31" x14ac:dyDescent="0.2">
      <c r="A49" s="1" t="s">
        <v>116</v>
      </c>
      <c r="B49">
        <v>15.44</v>
      </c>
      <c r="D49" t="b">
        <v>0</v>
      </c>
      <c r="I49">
        <v>-19.559999999999999</v>
      </c>
      <c r="Y49">
        <v>195.078238158679</v>
      </c>
      <c r="Z49">
        <v>27.937074115110001</v>
      </c>
      <c r="AA49" t="s">
        <v>35</v>
      </c>
      <c r="AB49">
        <v>15.439999580383301</v>
      </c>
      <c r="AC49">
        <v>7.4</v>
      </c>
      <c r="AE49">
        <v>30</v>
      </c>
    </row>
    <row r="50" spans="1:31" x14ac:dyDescent="0.2">
      <c r="A50" s="1" t="s">
        <v>108</v>
      </c>
      <c r="B50">
        <v>16.920000000000002</v>
      </c>
      <c r="D50" t="b">
        <v>0</v>
      </c>
      <c r="I50">
        <v>-18.079999999999998</v>
      </c>
      <c r="Y50">
        <v>195.004040938369</v>
      </c>
      <c r="Z50">
        <v>27.945440098500001</v>
      </c>
      <c r="AA50" t="s">
        <v>35</v>
      </c>
      <c r="AB50">
        <v>16.920000076293899</v>
      </c>
      <c r="AC50">
        <v>7.93</v>
      </c>
      <c r="AD50">
        <v>7.63</v>
      </c>
      <c r="AE50">
        <v>168.9</v>
      </c>
    </row>
    <row r="51" spans="1:31" x14ac:dyDescent="0.2">
      <c r="A51" s="1" t="s">
        <v>94</v>
      </c>
      <c r="B51">
        <v>17.399999999999999</v>
      </c>
      <c r="D51" t="b">
        <v>0</v>
      </c>
      <c r="I51">
        <v>-17.600000000000001</v>
      </c>
      <c r="Y51">
        <v>194.959091</v>
      </c>
      <c r="Z51">
        <v>27.912635000000002</v>
      </c>
      <c r="AA51" t="s">
        <v>35</v>
      </c>
      <c r="AB51">
        <v>17.399999618530199</v>
      </c>
      <c r="AC51">
        <v>8.14</v>
      </c>
      <c r="AD51">
        <v>5.84</v>
      </c>
      <c r="AE51">
        <v>136</v>
      </c>
    </row>
    <row r="52" spans="1:31" x14ac:dyDescent="0.2">
      <c r="A52" s="1" t="s">
        <v>93</v>
      </c>
      <c r="B52">
        <v>17.170000000000002</v>
      </c>
      <c r="D52" t="b">
        <v>0</v>
      </c>
      <c r="I52">
        <v>-17.829999999999998</v>
      </c>
      <c r="Y52">
        <v>194.85435699999999</v>
      </c>
      <c r="Z52">
        <v>27.996728999999998</v>
      </c>
      <c r="AA52" t="s">
        <v>35</v>
      </c>
      <c r="AB52">
        <v>17.170000076293899</v>
      </c>
      <c r="AC52">
        <v>8.32</v>
      </c>
      <c r="AD52">
        <v>7.57</v>
      </c>
      <c r="AE52">
        <v>105.7</v>
      </c>
    </row>
    <row r="53" spans="1:31" x14ac:dyDescent="0.2">
      <c r="A53" s="1" t="s">
        <v>42</v>
      </c>
      <c r="B53">
        <v>15.52</v>
      </c>
      <c r="D53" t="b">
        <v>0</v>
      </c>
      <c r="I53">
        <v>-19.48</v>
      </c>
      <c r="Y53">
        <v>195.070965624639</v>
      </c>
      <c r="Z53">
        <v>28.063912524949998</v>
      </c>
      <c r="AA53" t="s">
        <v>35</v>
      </c>
      <c r="AB53">
        <v>15.520000457763601</v>
      </c>
      <c r="AC53">
        <v>8.4</v>
      </c>
      <c r="AE53">
        <v>85</v>
      </c>
    </row>
    <row r="54" spans="1:31" x14ac:dyDescent="0.2">
      <c r="A54" s="1" t="s">
        <v>105</v>
      </c>
      <c r="B54">
        <v>15.65</v>
      </c>
      <c r="D54" t="b">
        <v>0</v>
      </c>
      <c r="I54">
        <v>-19.350000000000001</v>
      </c>
      <c r="Y54">
        <v>194.934191458729</v>
      </c>
      <c r="Z54">
        <v>27.958426533770002</v>
      </c>
      <c r="AA54" t="s">
        <v>35</v>
      </c>
      <c r="AB54">
        <v>15.649999618530201</v>
      </c>
      <c r="AC54">
        <v>8.5</v>
      </c>
      <c r="AE54">
        <v>20</v>
      </c>
    </row>
    <row r="55" spans="1:31" x14ac:dyDescent="0.2">
      <c r="A55" s="1" t="s">
        <v>87</v>
      </c>
      <c r="B55">
        <v>16.72</v>
      </c>
      <c r="D55" t="b">
        <v>0</v>
      </c>
      <c r="I55">
        <v>-18.28</v>
      </c>
      <c r="Y55">
        <v>195.04644368117999</v>
      </c>
      <c r="Z55">
        <v>28.065228974859899</v>
      </c>
      <c r="AA55" t="s">
        <v>35</v>
      </c>
      <c r="AB55">
        <v>16.7199993133544</v>
      </c>
      <c r="AC55">
        <v>8.66</v>
      </c>
      <c r="AD55">
        <v>7.4</v>
      </c>
      <c r="AE55">
        <v>168.5</v>
      </c>
    </row>
    <row r="56" spans="1:31" x14ac:dyDescent="0.2">
      <c r="A56" s="1" t="s">
        <v>81</v>
      </c>
      <c r="B56">
        <v>17.149999999999999</v>
      </c>
      <c r="D56" t="b">
        <v>0</v>
      </c>
      <c r="I56">
        <v>-17.850000000000001</v>
      </c>
      <c r="Y56">
        <v>195.12897899999999</v>
      </c>
      <c r="Z56">
        <v>28.108394000000001</v>
      </c>
      <c r="AA56" t="s">
        <v>35</v>
      </c>
      <c r="AB56">
        <v>17.149999618530199</v>
      </c>
      <c r="AC56">
        <v>8.66</v>
      </c>
      <c r="AD56">
        <v>5.63</v>
      </c>
      <c r="AE56">
        <v>80.8</v>
      </c>
    </row>
    <row r="57" spans="1:31" x14ac:dyDescent="0.2">
      <c r="A57" s="1" t="s">
        <v>37</v>
      </c>
      <c r="B57">
        <v>15.33</v>
      </c>
      <c r="D57" t="b">
        <v>0</v>
      </c>
      <c r="I57">
        <v>-19.670000000000002</v>
      </c>
      <c r="Y57">
        <v>194.844249890719</v>
      </c>
      <c r="Z57">
        <v>27.896870789279902</v>
      </c>
      <c r="AA57" t="s">
        <v>35</v>
      </c>
      <c r="AB57">
        <v>15.329999923706</v>
      </c>
      <c r="AC57">
        <v>8.6999999999999993</v>
      </c>
      <c r="AE57">
        <v>25</v>
      </c>
    </row>
    <row r="58" spans="1:31" x14ac:dyDescent="0.2">
      <c r="A58" s="1" t="s">
        <v>164</v>
      </c>
      <c r="B58">
        <v>15.59</v>
      </c>
      <c r="D58" t="b">
        <v>0</v>
      </c>
      <c r="I58">
        <v>-19.41</v>
      </c>
      <c r="Y58">
        <v>194.85557</v>
      </c>
      <c r="Z58">
        <v>27.967949999999998</v>
      </c>
      <c r="AA58" t="s">
        <v>165</v>
      </c>
      <c r="AC58">
        <v>8.8000000000000007</v>
      </c>
      <c r="AE58">
        <v>80</v>
      </c>
    </row>
    <row r="59" spans="1:31" x14ac:dyDescent="0.2">
      <c r="A59" s="1" t="s">
        <v>111</v>
      </c>
      <c r="B59">
        <v>15.17</v>
      </c>
      <c r="D59" t="b">
        <v>0</v>
      </c>
      <c r="I59">
        <v>-19.829999999999998</v>
      </c>
      <c r="Y59">
        <v>195.05362670103901</v>
      </c>
      <c r="Z59">
        <v>28.075494251659901</v>
      </c>
      <c r="AA59" t="s">
        <v>35</v>
      </c>
      <c r="AB59">
        <v>15.170000076293899</v>
      </c>
      <c r="AC59">
        <v>8.9</v>
      </c>
      <c r="AE59">
        <v>-30</v>
      </c>
    </row>
    <row r="60" spans="1:31" x14ac:dyDescent="0.2">
      <c r="A60" s="1" t="s">
        <v>67</v>
      </c>
      <c r="B60">
        <v>15.4</v>
      </c>
      <c r="C60">
        <v>5.6880499999999996</v>
      </c>
      <c r="D60" t="b">
        <v>1</v>
      </c>
      <c r="E60">
        <v>7004</v>
      </c>
      <c r="F60">
        <v>2.3359000000000001E-2</v>
      </c>
      <c r="G60">
        <v>100.04074300000001</v>
      </c>
      <c r="H60">
        <v>8.0000000000000002E-3</v>
      </c>
      <c r="I60">
        <v>-19.600000000000001</v>
      </c>
      <c r="J60">
        <v>1.370380253</v>
      </c>
      <c r="K60">
        <v>94.807150089999993</v>
      </c>
      <c r="L60">
        <v>26</v>
      </c>
      <c r="M60">
        <v>5.0999999999999996</v>
      </c>
      <c r="N60">
        <v>2</v>
      </c>
      <c r="O60">
        <v>1.4</v>
      </c>
      <c r="P60">
        <v>28</v>
      </c>
      <c r="Q60">
        <v>5.3</v>
      </c>
      <c r="R60">
        <v>0.29533637499999998</v>
      </c>
      <c r="S60" t="s">
        <v>67</v>
      </c>
      <c r="T60" t="s">
        <v>68</v>
      </c>
      <c r="U60">
        <v>0.40472313599999998</v>
      </c>
      <c r="V60">
        <v>7.3703263000000005E-2</v>
      </c>
      <c r="W60">
        <v>1.156351817</v>
      </c>
      <c r="X60">
        <v>0.21058075100000001</v>
      </c>
      <c r="Y60">
        <v>195.11654185059899</v>
      </c>
      <c r="Z60">
        <v>27.95599470558</v>
      </c>
      <c r="AA60" t="s">
        <v>35</v>
      </c>
      <c r="AB60">
        <v>15.270000457763601</v>
      </c>
      <c r="AC60">
        <v>8.9</v>
      </c>
      <c r="AE60">
        <v>40</v>
      </c>
    </row>
    <row r="61" spans="1:31" x14ac:dyDescent="0.2">
      <c r="A61" s="1" t="s">
        <v>59</v>
      </c>
      <c r="B61">
        <v>15.12</v>
      </c>
      <c r="C61">
        <v>5.2583849999999996</v>
      </c>
      <c r="D61" t="b">
        <v>1</v>
      </c>
      <c r="E61">
        <v>7269</v>
      </c>
      <c r="F61">
        <v>2.4243000000000001E-2</v>
      </c>
      <c r="G61">
        <v>103.826694</v>
      </c>
      <c r="H61">
        <v>4.8000000000000001E-2</v>
      </c>
      <c r="I61">
        <v>-19.88</v>
      </c>
      <c r="J61">
        <v>1.329062671</v>
      </c>
      <c r="K61">
        <v>118.9995887</v>
      </c>
      <c r="L61">
        <v>332</v>
      </c>
      <c r="M61">
        <v>18.2</v>
      </c>
      <c r="N61">
        <v>14</v>
      </c>
      <c r="O61">
        <v>3.7</v>
      </c>
      <c r="P61">
        <v>346</v>
      </c>
      <c r="Q61">
        <v>18.600000000000001</v>
      </c>
      <c r="R61">
        <v>2.9075730759999998</v>
      </c>
      <c r="S61" t="s">
        <v>60</v>
      </c>
      <c r="T61" t="s">
        <v>60</v>
      </c>
      <c r="U61">
        <v>3.8643468369999998</v>
      </c>
      <c r="V61">
        <v>0.20350216700000001</v>
      </c>
      <c r="W61">
        <v>11.04099096</v>
      </c>
      <c r="X61">
        <v>0.58143476299999997</v>
      </c>
      <c r="Y61">
        <v>195.02664187002</v>
      </c>
      <c r="Z61">
        <v>28.004124776699999</v>
      </c>
      <c r="AA61" t="s">
        <v>35</v>
      </c>
      <c r="AB61">
        <v>15.050000190734799</v>
      </c>
      <c r="AC61">
        <v>9.1</v>
      </c>
      <c r="AE61">
        <v>20</v>
      </c>
    </row>
    <row r="62" spans="1:31" x14ac:dyDescent="0.2">
      <c r="A62" s="1" t="s">
        <v>98</v>
      </c>
      <c r="B62">
        <v>16.79</v>
      </c>
      <c r="D62" t="b">
        <v>0</v>
      </c>
      <c r="I62">
        <v>-18.21</v>
      </c>
      <c r="Y62">
        <v>195.147592</v>
      </c>
      <c r="Z62">
        <v>27.942744000000001</v>
      </c>
      <c r="AA62" t="s">
        <v>35</v>
      </c>
      <c r="AB62">
        <v>16.790000915527301</v>
      </c>
    </row>
    <row r="63" spans="1:31" x14ac:dyDescent="0.2">
      <c r="A63" s="1" t="s">
        <v>63</v>
      </c>
      <c r="B63">
        <v>14.85</v>
      </c>
      <c r="C63">
        <v>5.341545</v>
      </c>
      <c r="D63" t="b">
        <v>1</v>
      </c>
      <c r="E63">
        <v>5732</v>
      </c>
      <c r="F63">
        <v>1.9120000000000002E-2</v>
      </c>
      <c r="G63">
        <v>81.886168999999995</v>
      </c>
      <c r="H63">
        <v>5.0000000000000001E-3</v>
      </c>
      <c r="I63">
        <v>-20.149999999999999</v>
      </c>
      <c r="J63">
        <v>1.3335751689999999</v>
      </c>
      <c r="K63">
        <v>153.11491599999999</v>
      </c>
      <c r="L63">
        <v>54</v>
      </c>
      <c r="M63">
        <v>7.3</v>
      </c>
      <c r="N63">
        <v>4</v>
      </c>
      <c r="O63">
        <v>2</v>
      </c>
      <c r="P63">
        <v>58</v>
      </c>
      <c r="Q63">
        <v>7.6</v>
      </c>
      <c r="R63">
        <v>0.37880045600000001</v>
      </c>
      <c r="S63" t="s">
        <v>63</v>
      </c>
      <c r="T63" t="s">
        <v>64</v>
      </c>
      <c r="U63">
        <v>0.50515888200000003</v>
      </c>
      <c r="V63">
        <v>6.4002488999999996E-2</v>
      </c>
      <c r="W63">
        <v>1.4433110920000001</v>
      </c>
      <c r="X63">
        <v>0.182864255</v>
      </c>
      <c r="Y63">
        <v>195.06145537667899</v>
      </c>
      <c r="Z63">
        <v>28.041299914740001</v>
      </c>
      <c r="AA63" t="s">
        <v>35</v>
      </c>
      <c r="AB63">
        <v>14.75</v>
      </c>
      <c r="AC63">
        <v>9.1999999999999993</v>
      </c>
      <c r="AE63">
        <v>25</v>
      </c>
    </row>
    <row r="64" spans="1:31" x14ac:dyDescent="0.2">
      <c r="A64" s="1" t="s">
        <v>96</v>
      </c>
      <c r="B64">
        <v>16.809999999999999</v>
      </c>
      <c r="D64" t="b">
        <v>0</v>
      </c>
      <c r="I64">
        <v>-18.190000000000001</v>
      </c>
      <c r="Y64">
        <v>195.14344800000001</v>
      </c>
      <c r="Z64">
        <v>27.934691999999998</v>
      </c>
      <c r="AA64" t="s">
        <v>35</v>
      </c>
      <c r="AB64">
        <v>16.809999465942301</v>
      </c>
    </row>
    <row r="65" spans="1:31" x14ac:dyDescent="0.2">
      <c r="A65" s="1" t="s">
        <v>102</v>
      </c>
      <c r="B65">
        <v>15.89</v>
      </c>
      <c r="D65" t="b">
        <v>0</v>
      </c>
      <c r="I65">
        <v>-19.11</v>
      </c>
      <c r="Y65">
        <v>194.909672273339</v>
      </c>
      <c r="Z65">
        <v>27.987209222299999</v>
      </c>
      <c r="AA65" t="s">
        <v>35</v>
      </c>
      <c r="AB65">
        <v>15.890000343322701</v>
      </c>
      <c r="AC65">
        <v>9.4</v>
      </c>
      <c r="AE65">
        <v>40</v>
      </c>
    </row>
    <row r="66" spans="1:31" x14ac:dyDescent="0.2">
      <c r="A66" s="1" t="s">
        <v>101</v>
      </c>
      <c r="B66">
        <v>16.600000000000001</v>
      </c>
      <c r="D66" t="b">
        <v>0</v>
      </c>
      <c r="I66">
        <v>-18.399999999999999</v>
      </c>
      <c r="Y66">
        <v>194.90829870728999</v>
      </c>
      <c r="Z66">
        <v>28.001011280479901</v>
      </c>
      <c r="AA66" t="s">
        <v>35</v>
      </c>
      <c r="AB66">
        <v>16.600000381469702</v>
      </c>
      <c r="AC66">
        <v>9.6999999999999993</v>
      </c>
      <c r="AD66">
        <v>7.81</v>
      </c>
      <c r="AE66">
        <v>177</v>
      </c>
    </row>
    <row r="67" spans="1:31" x14ac:dyDescent="0.2">
      <c r="A67" s="1" t="s">
        <v>107</v>
      </c>
      <c r="B67">
        <v>17</v>
      </c>
      <c r="D67" t="b">
        <v>0</v>
      </c>
      <c r="I67">
        <v>-18</v>
      </c>
      <c r="Y67">
        <v>194.99778800000001</v>
      </c>
      <c r="Z67">
        <v>27.940570999999998</v>
      </c>
      <c r="AA67" t="s">
        <v>35</v>
      </c>
      <c r="AB67">
        <v>17</v>
      </c>
    </row>
    <row r="68" spans="1:31" x14ac:dyDescent="0.2">
      <c r="A68" s="1" t="s">
        <v>113</v>
      </c>
      <c r="B68">
        <v>14.96</v>
      </c>
      <c r="D68" t="b">
        <v>0</v>
      </c>
      <c r="I68">
        <v>-20.04</v>
      </c>
      <c r="Y68">
        <v>195.17849319377001</v>
      </c>
      <c r="Z68">
        <v>27.96311850252</v>
      </c>
      <c r="AA68" t="s">
        <v>35</v>
      </c>
      <c r="AB68">
        <v>14.9600000381469</v>
      </c>
      <c r="AC68">
        <v>9.8000000000000007</v>
      </c>
      <c r="AE68">
        <v>65</v>
      </c>
    </row>
    <row r="69" spans="1:31" x14ac:dyDescent="0.2">
      <c r="A69" s="1" t="s">
        <v>85</v>
      </c>
      <c r="B69">
        <v>17.04</v>
      </c>
      <c r="D69" t="b">
        <v>0</v>
      </c>
      <c r="I69">
        <v>-17.96</v>
      </c>
      <c r="Y69">
        <v>195.07727399999999</v>
      </c>
      <c r="Z69">
        <v>28.097154</v>
      </c>
      <c r="AA69" t="s">
        <v>35</v>
      </c>
      <c r="AB69">
        <v>17.040000915527301</v>
      </c>
    </row>
    <row r="70" spans="1:31" x14ac:dyDescent="0.2">
      <c r="A70" s="1" t="s">
        <v>46</v>
      </c>
      <c r="B70">
        <v>17.074999999999999</v>
      </c>
      <c r="D70" t="b">
        <v>0</v>
      </c>
      <c r="I70">
        <v>-17.925000000000001</v>
      </c>
      <c r="Y70">
        <v>195.021416666666</v>
      </c>
      <c r="Z70">
        <v>27.976666666666599</v>
      </c>
      <c r="AA70" t="s">
        <v>35</v>
      </c>
      <c r="AB70">
        <v>17.0750007629394</v>
      </c>
    </row>
    <row r="71" spans="1:31" x14ac:dyDescent="0.2">
      <c r="A71" s="1" t="s">
        <v>40</v>
      </c>
      <c r="B71">
        <v>15.32</v>
      </c>
      <c r="D71" t="b">
        <v>0</v>
      </c>
      <c r="I71">
        <v>-19.68</v>
      </c>
      <c r="Y71">
        <v>194.986053918919</v>
      </c>
      <c r="Z71">
        <v>27.930037027059999</v>
      </c>
      <c r="AA71" t="s">
        <v>35</v>
      </c>
      <c r="AB71">
        <v>15.319999694824199</v>
      </c>
      <c r="AC71">
        <v>9.9</v>
      </c>
      <c r="AE71">
        <v>80</v>
      </c>
    </row>
    <row r="72" spans="1:31" x14ac:dyDescent="0.2">
      <c r="A72" s="1" t="s">
        <v>167</v>
      </c>
      <c r="B72">
        <v>17.13</v>
      </c>
      <c r="D72" t="b">
        <v>0</v>
      </c>
      <c r="I72">
        <v>-17.87</v>
      </c>
      <c r="Y72">
        <v>194.89874</v>
      </c>
      <c r="Z72">
        <v>27.906036</v>
      </c>
      <c r="AA72" t="s">
        <v>35</v>
      </c>
      <c r="AB72">
        <v>17.129999160766602</v>
      </c>
    </row>
    <row r="73" spans="1:31" x14ac:dyDescent="0.2">
      <c r="A73" s="1" t="s">
        <v>114</v>
      </c>
      <c r="B73">
        <v>15.59</v>
      </c>
      <c r="D73" t="b">
        <v>0</v>
      </c>
      <c r="I73">
        <v>-19.41</v>
      </c>
      <c r="Y73">
        <v>195.18600176462999</v>
      </c>
      <c r="Z73">
        <v>28.100633416779999</v>
      </c>
      <c r="AA73" t="s">
        <v>35</v>
      </c>
      <c r="AB73">
        <v>15.5900001525878</v>
      </c>
      <c r="AC73">
        <v>10.199999999999999</v>
      </c>
      <c r="AE73">
        <v>-55</v>
      </c>
    </row>
    <row r="74" spans="1:31" x14ac:dyDescent="0.2">
      <c r="A74" s="1" t="s">
        <v>61</v>
      </c>
      <c r="B74">
        <v>14.94</v>
      </c>
      <c r="C74">
        <v>2.7700200000000001</v>
      </c>
      <c r="D74" t="b">
        <v>1</v>
      </c>
      <c r="E74">
        <v>7237</v>
      </c>
      <c r="F74">
        <v>2.4140000000000002E-2</v>
      </c>
      <c r="G74">
        <v>103.385571</v>
      </c>
      <c r="H74">
        <v>0.01</v>
      </c>
      <c r="I74">
        <v>-20.059999999999999</v>
      </c>
      <c r="J74">
        <v>1.3268747139999999</v>
      </c>
      <c r="K74">
        <v>140.22644299999999</v>
      </c>
      <c r="L74">
        <v>12</v>
      </c>
      <c r="M74">
        <v>3.5</v>
      </c>
      <c r="N74">
        <v>3</v>
      </c>
      <c r="O74">
        <v>1.7</v>
      </c>
      <c r="P74">
        <v>15</v>
      </c>
      <c r="Q74">
        <v>3.9</v>
      </c>
      <c r="R74">
        <v>0.106969839</v>
      </c>
      <c r="S74" t="s">
        <v>61</v>
      </c>
      <c r="T74" t="s">
        <v>62</v>
      </c>
      <c r="U74">
        <v>0.14193557400000001</v>
      </c>
      <c r="V74">
        <v>3.2778620000000001E-2</v>
      </c>
      <c r="W74">
        <v>0.405530212</v>
      </c>
      <c r="X74">
        <v>9.3653201000000005E-2</v>
      </c>
      <c r="Y74">
        <v>195.03331660633901</v>
      </c>
      <c r="Z74">
        <v>28.0785590405</v>
      </c>
      <c r="AA74" t="s">
        <v>35</v>
      </c>
      <c r="AB74">
        <v>14.640000343322701</v>
      </c>
      <c r="AC74">
        <v>10.3</v>
      </c>
      <c r="AE74">
        <v>-50</v>
      </c>
    </row>
    <row r="75" spans="1:31" x14ac:dyDescent="0.2">
      <c r="A75" s="1" t="s">
        <v>115</v>
      </c>
      <c r="B75">
        <v>16.34</v>
      </c>
      <c r="D75" t="b">
        <v>0</v>
      </c>
      <c r="I75">
        <v>-18.66</v>
      </c>
      <c r="Y75">
        <v>195.28932438263899</v>
      </c>
      <c r="Z75">
        <v>28.033112887529999</v>
      </c>
      <c r="AA75" t="s">
        <v>35</v>
      </c>
      <c r="AB75">
        <v>16.340000152587798</v>
      </c>
      <c r="AC75">
        <v>10.31</v>
      </c>
      <c r="AD75">
        <v>10.07</v>
      </c>
      <c r="AE75">
        <v>52.5</v>
      </c>
    </row>
    <row r="76" spans="1:31" x14ac:dyDescent="0.2">
      <c r="A76" s="1" t="s">
        <v>129</v>
      </c>
      <c r="B76">
        <v>14.65</v>
      </c>
      <c r="C76">
        <v>2.73</v>
      </c>
      <c r="D76" t="b">
        <v>1</v>
      </c>
      <c r="E76">
        <v>8008</v>
      </c>
      <c r="F76">
        <v>2.6707999999999999E-2</v>
      </c>
      <c r="G76">
        <v>114.38367100000001</v>
      </c>
      <c r="H76">
        <v>4.8000000000000001E-2</v>
      </c>
      <c r="I76">
        <v>-20.350000000000001</v>
      </c>
      <c r="J76">
        <v>1.3683772750000001</v>
      </c>
      <c r="K76">
        <v>188.8886459</v>
      </c>
      <c r="L76">
        <v>68</v>
      </c>
      <c r="M76">
        <v>8.1999999999999993</v>
      </c>
      <c r="N76">
        <v>1</v>
      </c>
      <c r="O76">
        <v>1</v>
      </c>
      <c r="P76">
        <v>69</v>
      </c>
      <c r="Q76">
        <v>8.3000000000000007</v>
      </c>
      <c r="R76">
        <v>0.36529458799999998</v>
      </c>
      <c r="S76" t="s">
        <v>129</v>
      </c>
      <c r="T76" t="s">
        <v>130</v>
      </c>
      <c r="U76">
        <v>0.49986081199999999</v>
      </c>
      <c r="V76">
        <v>5.9738517999999997E-2</v>
      </c>
      <c r="W76">
        <v>1.42817375</v>
      </c>
      <c r="X76">
        <v>0.17068148</v>
      </c>
      <c r="Y76">
        <v>194.90795580391</v>
      </c>
      <c r="Z76">
        <v>27.907333400619901</v>
      </c>
      <c r="AA76" t="s">
        <v>35</v>
      </c>
      <c r="AB76">
        <v>14.569999694824199</v>
      </c>
      <c r="AC76">
        <v>11</v>
      </c>
      <c r="AE76">
        <v>-70</v>
      </c>
    </row>
    <row r="77" spans="1:31" x14ac:dyDescent="0.2">
      <c r="A77" s="1" t="s">
        <v>69</v>
      </c>
      <c r="B77">
        <v>15.21</v>
      </c>
      <c r="C77">
        <v>8.965935</v>
      </c>
      <c r="D77" t="b">
        <v>1</v>
      </c>
      <c r="E77">
        <v>7715</v>
      </c>
      <c r="F77">
        <v>2.5734E-2</v>
      </c>
      <c r="G77">
        <v>110.212273</v>
      </c>
      <c r="H77">
        <v>1.2E-2</v>
      </c>
      <c r="I77">
        <v>-19.79</v>
      </c>
      <c r="J77">
        <v>1.3375312660000001</v>
      </c>
      <c r="K77">
        <v>110.2310497</v>
      </c>
      <c r="L77">
        <v>83</v>
      </c>
      <c r="M77">
        <v>9.1</v>
      </c>
      <c r="N77">
        <v>3</v>
      </c>
      <c r="O77">
        <v>1.7</v>
      </c>
      <c r="P77">
        <v>86</v>
      </c>
      <c r="Q77">
        <v>9.3000000000000007</v>
      </c>
      <c r="R77">
        <v>0.78017945300000002</v>
      </c>
      <c r="S77" t="s">
        <v>69</v>
      </c>
      <c r="T77" t="s">
        <v>70</v>
      </c>
      <c r="U77">
        <v>1.0435144110000001</v>
      </c>
      <c r="V77">
        <v>0.11054499</v>
      </c>
      <c r="W77">
        <v>2.9814697469999998</v>
      </c>
      <c r="X77">
        <v>0.31584283000000002</v>
      </c>
      <c r="Y77">
        <v>195.11830877411001</v>
      </c>
      <c r="Z77">
        <v>27.972414648419999</v>
      </c>
      <c r="AA77" t="s">
        <v>35</v>
      </c>
      <c r="AB77">
        <v>15.2299995422363</v>
      </c>
      <c r="AC77">
        <v>11.1</v>
      </c>
      <c r="AE77">
        <v>85</v>
      </c>
    </row>
    <row r="78" spans="1:31" x14ac:dyDescent="0.2">
      <c r="A78" s="1" t="s">
        <v>52</v>
      </c>
      <c r="B78">
        <v>15.32</v>
      </c>
      <c r="D78" t="b">
        <v>1</v>
      </c>
      <c r="I78">
        <v>-19.68</v>
      </c>
      <c r="Y78">
        <v>194.85620569632999</v>
      </c>
      <c r="Z78">
        <v>27.973209296850001</v>
      </c>
      <c r="AA78" t="s">
        <v>35</v>
      </c>
      <c r="AB78">
        <v>15.319999694824199</v>
      </c>
      <c r="AC78">
        <v>11.6</v>
      </c>
      <c r="AE78">
        <v>45</v>
      </c>
    </row>
    <row r="79" spans="1:31" x14ac:dyDescent="0.2">
      <c r="A79" s="1" t="s">
        <v>65</v>
      </c>
      <c r="B79">
        <v>14.59</v>
      </c>
      <c r="C79">
        <v>7.3542149999999999</v>
      </c>
      <c r="D79" t="b">
        <v>1</v>
      </c>
      <c r="E79">
        <v>8176</v>
      </c>
      <c r="F79">
        <v>2.7269000000000002E-2</v>
      </c>
      <c r="G79">
        <v>116.786293</v>
      </c>
      <c r="H79">
        <v>1.9E-2</v>
      </c>
      <c r="I79">
        <v>-20.41</v>
      </c>
      <c r="J79">
        <v>1.38443563</v>
      </c>
      <c r="K79">
        <v>201.96344389999999</v>
      </c>
      <c r="L79">
        <v>104</v>
      </c>
      <c r="M79">
        <v>10.199999999999999</v>
      </c>
      <c r="N79">
        <v>3</v>
      </c>
      <c r="O79">
        <v>1.7</v>
      </c>
      <c r="P79">
        <v>107</v>
      </c>
      <c r="Q79">
        <v>10.3</v>
      </c>
      <c r="R79">
        <v>0.52979884799999999</v>
      </c>
      <c r="S79" t="s">
        <v>65</v>
      </c>
      <c r="T79" t="s">
        <v>66</v>
      </c>
      <c r="U79">
        <v>0.73347240199999997</v>
      </c>
      <c r="V79">
        <v>6.9906357000000002E-2</v>
      </c>
      <c r="W79">
        <v>2.0956354350000002</v>
      </c>
      <c r="X79">
        <v>0.19973244800000001</v>
      </c>
      <c r="Y79">
        <v>195.092254122219</v>
      </c>
      <c r="Z79">
        <v>28.047010616430001</v>
      </c>
      <c r="AA79" t="s">
        <v>35</v>
      </c>
      <c r="AB79">
        <v>14.6300001144409</v>
      </c>
      <c r="AC79">
        <v>12</v>
      </c>
      <c r="AE79">
        <v>30</v>
      </c>
    </row>
    <row r="80" spans="1:31" x14ac:dyDescent="0.2">
      <c r="A80" s="1" t="s">
        <v>112</v>
      </c>
      <c r="B80">
        <v>14.843999999999999</v>
      </c>
      <c r="D80" t="b">
        <v>0</v>
      </c>
      <c r="I80">
        <v>-20.155999999999999</v>
      </c>
      <c r="Y80">
        <v>195.16152855811899</v>
      </c>
      <c r="Z80">
        <v>28.01453304827</v>
      </c>
      <c r="AA80" t="s">
        <v>35</v>
      </c>
      <c r="AB80">
        <v>14.843999862670801</v>
      </c>
      <c r="AC80">
        <v>12.2</v>
      </c>
      <c r="AE80">
        <v>80</v>
      </c>
    </row>
    <row r="81" spans="1:31" x14ac:dyDescent="0.2">
      <c r="A81" s="1" t="s">
        <v>104</v>
      </c>
      <c r="B81">
        <v>16.02</v>
      </c>
      <c r="D81" t="b">
        <v>0</v>
      </c>
      <c r="I81">
        <v>-18.98</v>
      </c>
      <c r="Y81">
        <v>194.917806430669</v>
      </c>
      <c r="Z81">
        <v>27.968243720930001</v>
      </c>
      <c r="AA81" t="s">
        <v>35</v>
      </c>
      <c r="AB81">
        <v>16.020000457763601</v>
      </c>
      <c r="AC81">
        <v>12.67</v>
      </c>
      <c r="AD81">
        <v>7.03</v>
      </c>
      <c r="AE81">
        <v>48.5</v>
      </c>
    </row>
    <row r="82" spans="1:31" x14ac:dyDescent="0.2">
      <c r="A82" s="1" t="s">
        <v>143</v>
      </c>
      <c r="B82">
        <v>14.1</v>
      </c>
      <c r="C82">
        <v>8.0061300000000006</v>
      </c>
      <c r="D82" t="b">
        <v>1</v>
      </c>
      <c r="E82">
        <v>7521</v>
      </c>
      <c r="F82">
        <v>2.5087000000000002E-2</v>
      </c>
      <c r="G82">
        <v>107.441334</v>
      </c>
      <c r="H82">
        <v>5.8999999999999997E-2</v>
      </c>
      <c r="I82">
        <v>-20.9</v>
      </c>
      <c r="J82">
        <v>1.622328593</v>
      </c>
      <c r="K82">
        <v>371.65400970000002</v>
      </c>
      <c r="L82">
        <v>132</v>
      </c>
      <c r="M82">
        <v>11.5</v>
      </c>
      <c r="N82">
        <v>8</v>
      </c>
      <c r="O82">
        <v>2.8</v>
      </c>
      <c r="P82">
        <v>140</v>
      </c>
      <c r="Q82">
        <v>11.8</v>
      </c>
      <c r="R82">
        <v>0.37669444299999999</v>
      </c>
      <c r="S82" t="s">
        <v>143</v>
      </c>
      <c r="T82" t="s">
        <v>144</v>
      </c>
      <c r="U82">
        <v>0.61112216500000005</v>
      </c>
      <c r="V82">
        <v>5.0151849999999998E-2</v>
      </c>
      <c r="W82">
        <v>1.7460633290000001</v>
      </c>
      <c r="X82">
        <v>0.143290999</v>
      </c>
      <c r="Y82">
        <v>195.165668224049</v>
      </c>
      <c r="Z82">
        <v>27.923956527790001</v>
      </c>
      <c r="AA82" t="s">
        <v>35</v>
      </c>
      <c r="AB82">
        <v>14.079999923706</v>
      </c>
      <c r="AC82">
        <v>12.9</v>
      </c>
      <c r="AE82">
        <v>0</v>
      </c>
    </row>
    <row r="83" spans="1:31" x14ac:dyDescent="0.2">
      <c r="A83" s="1" t="s">
        <v>48</v>
      </c>
      <c r="B83">
        <v>17.445</v>
      </c>
      <c r="D83" t="b">
        <v>0</v>
      </c>
      <c r="I83">
        <v>-17.555</v>
      </c>
      <c r="Y83">
        <v>194.87958333333299</v>
      </c>
      <c r="Z83">
        <v>27.955111111111101</v>
      </c>
      <c r="AA83" t="s">
        <v>35</v>
      </c>
      <c r="AB83">
        <v>17.444999694824201</v>
      </c>
    </row>
    <row r="84" spans="1:31" x14ac:dyDescent="0.2">
      <c r="A84" s="1" t="s">
        <v>157</v>
      </c>
      <c r="B84">
        <v>17.57</v>
      </c>
      <c r="D84" t="b">
        <v>0</v>
      </c>
      <c r="I84">
        <v>-17.43</v>
      </c>
      <c r="Y84">
        <v>195.10899699999999</v>
      </c>
      <c r="Z84">
        <v>28.008893</v>
      </c>
      <c r="AA84" t="s">
        <v>35</v>
      </c>
      <c r="AB84">
        <v>17.569999694824201</v>
      </c>
    </row>
    <row r="85" spans="1:31" x14ac:dyDescent="0.2">
      <c r="A85" s="1" t="s">
        <v>88</v>
      </c>
      <c r="B85">
        <v>17.579999999999998</v>
      </c>
      <c r="D85" t="b">
        <v>0</v>
      </c>
      <c r="I85">
        <v>-17.420000000000002</v>
      </c>
      <c r="Y85">
        <v>195.03114299999999</v>
      </c>
      <c r="Z85">
        <v>27.958068999999998</v>
      </c>
      <c r="AA85" t="s">
        <v>35</v>
      </c>
      <c r="AB85">
        <v>17.579999923706001</v>
      </c>
    </row>
    <row r="86" spans="1:31" x14ac:dyDescent="0.2">
      <c r="A86" s="1" t="s">
        <v>55</v>
      </c>
      <c r="B86">
        <v>14.7</v>
      </c>
      <c r="C86">
        <v>3.8006099999999998</v>
      </c>
      <c r="D86" t="b">
        <v>1</v>
      </c>
      <c r="E86">
        <v>6789</v>
      </c>
      <c r="F86">
        <v>2.2641999999999999E-2</v>
      </c>
      <c r="G86">
        <v>96.970011999999997</v>
      </c>
      <c r="H86">
        <v>1.6E-2</v>
      </c>
      <c r="I86">
        <v>-20.3</v>
      </c>
      <c r="J86">
        <v>1.357015512</v>
      </c>
      <c r="K86">
        <v>178.88948439999999</v>
      </c>
      <c r="L86">
        <v>42</v>
      </c>
      <c r="M86">
        <v>6.5</v>
      </c>
      <c r="N86">
        <v>6</v>
      </c>
      <c r="O86">
        <v>2.4</v>
      </c>
      <c r="P86">
        <v>48</v>
      </c>
      <c r="Q86">
        <v>6.9</v>
      </c>
      <c r="R86">
        <v>0.26832208800000001</v>
      </c>
      <c r="S86" t="s">
        <v>55</v>
      </c>
      <c r="T86" t="s">
        <v>56</v>
      </c>
      <c r="U86">
        <v>0.36411723600000001</v>
      </c>
      <c r="V86">
        <v>4.9161448000000003E-2</v>
      </c>
      <c r="W86">
        <v>1.04033496</v>
      </c>
      <c r="X86">
        <v>0.14046127999999999</v>
      </c>
      <c r="Y86">
        <v>194.87250749054999</v>
      </c>
      <c r="Z86">
        <v>27.85014087383</v>
      </c>
      <c r="AA86" t="s">
        <v>35</v>
      </c>
      <c r="AB86">
        <v>14.420000076293899</v>
      </c>
      <c r="AC86">
        <v>12.9</v>
      </c>
      <c r="AE86">
        <v>-25</v>
      </c>
    </row>
    <row r="87" spans="1:31" x14ac:dyDescent="0.2">
      <c r="A87" s="1" t="s">
        <v>51</v>
      </c>
      <c r="B87">
        <v>17.63</v>
      </c>
      <c r="D87" t="b">
        <v>0</v>
      </c>
      <c r="I87">
        <v>-17.37</v>
      </c>
      <c r="Y87">
        <v>195.22405999999901</v>
      </c>
      <c r="Z87">
        <v>27.968243000000001</v>
      </c>
      <c r="AA87" t="s">
        <v>35</v>
      </c>
      <c r="AB87">
        <v>17.629999160766602</v>
      </c>
    </row>
    <row r="88" spans="1:31" x14ac:dyDescent="0.2">
      <c r="A88" s="1" t="s">
        <v>131</v>
      </c>
      <c r="B88">
        <v>14.39</v>
      </c>
      <c r="C88">
        <v>6.0800850000000004</v>
      </c>
      <c r="D88" t="b">
        <v>1</v>
      </c>
      <c r="E88">
        <v>6701</v>
      </c>
      <c r="F88">
        <v>2.2349000000000001E-2</v>
      </c>
      <c r="G88">
        <v>95.715165999999996</v>
      </c>
      <c r="H88">
        <v>1.0999999999999999E-2</v>
      </c>
      <c r="I88">
        <v>-20.61</v>
      </c>
      <c r="J88">
        <v>1.4578371400000001</v>
      </c>
      <c r="K88">
        <v>255.68721339999999</v>
      </c>
      <c r="L88">
        <v>75</v>
      </c>
      <c r="M88">
        <v>8.6999999999999993</v>
      </c>
      <c r="N88">
        <v>0</v>
      </c>
      <c r="O88">
        <v>0</v>
      </c>
      <c r="P88">
        <v>75</v>
      </c>
      <c r="Q88">
        <v>8.6999999999999993</v>
      </c>
      <c r="R88">
        <v>0.29332714399999998</v>
      </c>
      <c r="S88" t="s">
        <v>131</v>
      </c>
      <c r="T88" t="s">
        <v>132</v>
      </c>
      <c r="U88">
        <v>0.42762320399999998</v>
      </c>
      <c r="V88">
        <v>4.9377674000000003E-2</v>
      </c>
      <c r="W88">
        <v>1.2217805829999999</v>
      </c>
      <c r="X88">
        <v>0.141079069</v>
      </c>
      <c r="Y88">
        <v>194.935018052929</v>
      </c>
      <c r="Z88">
        <v>27.912467723620001</v>
      </c>
      <c r="AA88" t="s">
        <v>35</v>
      </c>
      <c r="AB88">
        <v>14.1800003051757</v>
      </c>
      <c r="AC88">
        <v>13</v>
      </c>
      <c r="AE88">
        <v>20</v>
      </c>
    </row>
    <row r="89" spans="1:31" x14ac:dyDescent="0.2">
      <c r="A89" s="1" t="s">
        <v>151</v>
      </c>
      <c r="B89">
        <v>17.690000000000001</v>
      </c>
      <c r="D89" t="b">
        <v>0</v>
      </c>
      <c r="I89">
        <v>-17.309999999999999</v>
      </c>
      <c r="Y89">
        <v>194.952406</v>
      </c>
      <c r="Z89">
        <v>27.982695</v>
      </c>
      <c r="AA89" t="s">
        <v>35</v>
      </c>
      <c r="AB89">
        <v>17.690000534057599</v>
      </c>
    </row>
    <row r="90" spans="1:31" x14ac:dyDescent="0.2">
      <c r="A90" s="1" t="s">
        <v>71</v>
      </c>
      <c r="B90">
        <v>14.84</v>
      </c>
      <c r="C90">
        <v>7.5</v>
      </c>
      <c r="D90" t="b">
        <v>1</v>
      </c>
      <c r="E90">
        <v>7840</v>
      </c>
      <c r="F90">
        <v>2.5777999999999999E-2</v>
      </c>
      <c r="G90">
        <v>110.40071399999999</v>
      </c>
      <c r="H90">
        <v>1.7999999999999999E-2</v>
      </c>
      <c r="I90">
        <v>-20.16</v>
      </c>
      <c r="J90">
        <v>1.33465386</v>
      </c>
      <c r="K90">
        <v>154.65666709999999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71</v>
      </c>
      <c r="T90" t="s">
        <v>72</v>
      </c>
      <c r="U90">
        <v>0</v>
      </c>
      <c r="V90">
        <v>0</v>
      </c>
      <c r="W90">
        <v>0</v>
      </c>
      <c r="X90">
        <v>0</v>
      </c>
      <c r="Y90">
        <v>195.158209682522</v>
      </c>
      <c r="Z90">
        <v>28.057467471435199</v>
      </c>
      <c r="AA90" t="s">
        <v>35</v>
      </c>
      <c r="AB90">
        <v>15.039999961853001</v>
      </c>
      <c r="AC90">
        <v>13.2</v>
      </c>
      <c r="AE90">
        <v>-30</v>
      </c>
    </row>
    <row r="91" spans="1:31" x14ac:dyDescent="0.2">
      <c r="A91" s="1" t="s">
        <v>73</v>
      </c>
      <c r="B91">
        <v>14.35</v>
      </c>
      <c r="C91">
        <v>7.6814099999999996</v>
      </c>
      <c r="D91" t="b">
        <v>1</v>
      </c>
      <c r="E91">
        <v>7087</v>
      </c>
      <c r="F91">
        <v>2.3636000000000001E-2</v>
      </c>
      <c r="G91">
        <v>101.227065</v>
      </c>
      <c r="H91">
        <v>2.3E-2</v>
      </c>
      <c r="I91">
        <v>-20.65</v>
      </c>
      <c r="J91">
        <v>1.4763246370000001</v>
      </c>
      <c r="K91">
        <v>268.6469209</v>
      </c>
      <c r="L91">
        <v>121</v>
      </c>
      <c r="M91">
        <v>11</v>
      </c>
      <c r="N91">
        <v>3</v>
      </c>
      <c r="O91">
        <v>1.7</v>
      </c>
      <c r="P91">
        <v>124</v>
      </c>
      <c r="Q91">
        <v>11.1</v>
      </c>
      <c r="R91">
        <v>0.46157238499999997</v>
      </c>
      <c r="S91" t="s">
        <v>73</v>
      </c>
      <c r="T91" t="s">
        <v>74</v>
      </c>
      <c r="U91">
        <v>0.68143068399999995</v>
      </c>
      <c r="V91">
        <v>6.0449495999999998E-2</v>
      </c>
      <c r="W91">
        <v>1.94694481</v>
      </c>
      <c r="X91">
        <v>0.172712846</v>
      </c>
      <c r="Y91">
        <v>195.170225629789</v>
      </c>
      <c r="Z91">
        <v>27.996613295420001</v>
      </c>
      <c r="AA91" t="s">
        <v>35</v>
      </c>
      <c r="AB91">
        <v>14.770000457763601</v>
      </c>
      <c r="AC91">
        <v>13.7</v>
      </c>
      <c r="AE91">
        <v>35</v>
      </c>
    </row>
    <row r="92" spans="1:31" x14ac:dyDescent="0.2">
      <c r="A92" s="1" t="s">
        <v>57</v>
      </c>
      <c r="B92">
        <v>14.57</v>
      </c>
      <c r="C92">
        <v>8.9213850000000008</v>
      </c>
      <c r="D92" t="b">
        <v>1</v>
      </c>
      <c r="E92">
        <v>9419</v>
      </c>
      <c r="F92">
        <v>3.1419999999999997E-2</v>
      </c>
      <c r="G92">
        <v>134.563986</v>
      </c>
      <c r="H92">
        <v>4.9000000000000002E-2</v>
      </c>
      <c r="I92">
        <v>-20.43</v>
      </c>
      <c r="J92">
        <v>1.3903860910000001</v>
      </c>
      <c r="K92">
        <v>206.60242489999999</v>
      </c>
      <c r="L92">
        <v>621</v>
      </c>
      <c r="M92">
        <v>24.9</v>
      </c>
      <c r="N92">
        <v>12</v>
      </c>
      <c r="O92">
        <v>3.5</v>
      </c>
      <c r="P92">
        <v>633</v>
      </c>
      <c r="Q92">
        <v>25.2</v>
      </c>
      <c r="R92">
        <v>3.0638556179999998</v>
      </c>
      <c r="S92" t="s">
        <v>58</v>
      </c>
      <c r="T92" t="s">
        <v>58</v>
      </c>
      <c r="U92">
        <v>4.2599422340000004</v>
      </c>
      <c r="V92">
        <v>0.16770492100000001</v>
      </c>
      <c r="W92">
        <v>12.171263529999999</v>
      </c>
      <c r="X92">
        <v>0.47915691799999999</v>
      </c>
      <c r="Y92">
        <v>194.94492123013899</v>
      </c>
      <c r="Z92">
        <v>27.973857725519998</v>
      </c>
      <c r="AA92" t="s">
        <v>35</v>
      </c>
      <c r="AB92">
        <v>14.6099996566772</v>
      </c>
      <c r="AC92">
        <v>13.8</v>
      </c>
      <c r="AE92">
        <v>10</v>
      </c>
    </row>
    <row r="93" spans="1:31" x14ac:dyDescent="0.2">
      <c r="A93" s="1" t="s">
        <v>34</v>
      </c>
      <c r="B93">
        <v>17.86</v>
      </c>
      <c r="D93" t="b">
        <v>0</v>
      </c>
      <c r="I93">
        <v>-17.14</v>
      </c>
      <c r="Y93">
        <v>195.07346713314001</v>
      </c>
      <c r="Z93">
        <v>27.98752726723</v>
      </c>
      <c r="AA93" t="s">
        <v>35</v>
      </c>
      <c r="AB93">
        <v>17.860000610351499</v>
      </c>
    </row>
    <row r="94" spans="1:31" x14ac:dyDescent="0.2">
      <c r="A94" s="1" t="s">
        <v>161</v>
      </c>
      <c r="B94">
        <v>17.87</v>
      </c>
      <c r="D94" t="b">
        <v>0</v>
      </c>
      <c r="I94">
        <v>-17.13</v>
      </c>
      <c r="Y94">
        <v>195.152805</v>
      </c>
      <c r="Z94">
        <v>27.907623999999998</v>
      </c>
      <c r="AA94" t="s">
        <v>35</v>
      </c>
      <c r="AB94">
        <v>17.870000839233398</v>
      </c>
    </row>
    <row r="95" spans="1:31" x14ac:dyDescent="0.2">
      <c r="A95" s="1" t="s">
        <v>139</v>
      </c>
      <c r="B95">
        <v>15.19</v>
      </c>
      <c r="C95">
        <v>4.9143600000000003</v>
      </c>
      <c r="D95" t="b">
        <v>1</v>
      </c>
      <c r="E95">
        <v>4638</v>
      </c>
      <c r="F95">
        <v>1.5469999999999999E-2</v>
      </c>
      <c r="G95">
        <v>66.254132999999996</v>
      </c>
      <c r="H95">
        <v>2.4E-2</v>
      </c>
      <c r="I95">
        <v>-19.809999999999999</v>
      </c>
      <c r="J95">
        <v>1.335241278</v>
      </c>
      <c r="K95">
        <v>112.0881625</v>
      </c>
      <c r="L95">
        <v>127</v>
      </c>
      <c r="M95">
        <v>11.3</v>
      </c>
      <c r="N95">
        <v>3</v>
      </c>
      <c r="O95">
        <v>1.7</v>
      </c>
      <c r="P95">
        <v>130</v>
      </c>
      <c r="Q95">
        <v>11.4</v>
      </c>
      <c r="R95">
        <v>1.1598013309999999</v>
      </c>
      <c r="S95" t="s">
        <v>139</v>
      </c>
      <c r="T95" t="s">
        <v>140</v>
      </c>
      <c r="U95">
        <v>1.54861461</v>
      </c>
      <c r="V95">
        <v>0.13424616</v>
      </c>
      <c r="W95">
        <v>4.424613173</v>
      </c>
      <c r="X95">
        <v>0.38356045799999999</v>
      </c>
      <c r="Y95">
        <v>195.06883071400901</v>
      </c>
      <c r="Z95">
        <v>27.967522811129999</v>
      </c>
      <c r="AA95" t="s">
        <v>35</v>
      </c>
      <c r="AB95">
        <v>15.039999961853001</v>
      </c>
      <c r="AC95">
        <v>13.9</v>
      </c>
      <c r="AE95">
        <v>30</v>
      </c>
    </row>
    <row r="96" spans="1:31" x14ac:dyDescent="0.2">
      <c r="A96" s="1" t="s">
        <v>117</v>
      </c>
      <c r="B96">
        <v>14.46</v>
      </c>
      <c r="C96">
        <v>2.84</v>
      </c>
      <c r="D96" t="b">
        <v>1</v>
      </c>
      <c r="E96">
        <v>4822</v>
      </c>
      <c r="F96">
        <v>1.6081000000000002E-2</v>
      </c>
      <c r="G96">
        <v>68.870892999999995</v>
      </c>
      <c r="H96">
        <v>3.4000000000000002E-2</v>
      </c>
      <c r="I96">
        <v>-20.54</v>
      </c>
      <c r="J96">
        <v>1.4285857449999999</v>
      </c>
      <c r="K96">
        <v>234.9126004</v>
      </c>
      <c r="L96">
        <v>79</v>
      </c>
      <c r="M96">
        <v>8.9</v>
      </c>
      <c r="N96">
        <v>7</v>
      </c>
      <c r="O96">
        <v>2.6</v>
      </c>
      <c r="P96">
        <v>86</v>
      </c>
      <c r="Q96">
        <v>9.3000000000000007</v>
      </c>
      <c r="R96">
        <v>0.36609360200000002</v>
      </c>
      <c r="S96" t="s">
        <v>117</v>
      </c>
      <c r="T96" t="s">
        <v>118</v>
      </c>
      <c r="U96">
        <v>0.52299610100000005</v>
      </c>
      <c r="V96">
        <v>5.4052218999999999E-2</v>
      </c>
      <c r="W96">
        <v>1.4942745749999999</v>
      </c>
      <c r="X96">
        <v>0.15443491100000001</v>
      </c>
      <c r="Y96">
        <v>194.81354404998001</v>
      </c>
      <c r="Z96">
        <v>27.970726764919899</v>
      </c>
      <c r="AA96" t="s">
        <v>35</v>
      </c>
      <c r="AB96">
        <v>14.140000343322701</v>
      </c>
      <c r="AC96">
        <v>14.2</v>
      </c>
      <c r="AE96">
        <v>25</v>
      </c>
    </row>
    <row r="97" spans="1:31" x14ac:dyDescent="0.2">
      <c r="A97" s="1" t="s">
        <v>53</v>
      </c>
      <c r="B97">
        <v>14.37</v>
      </c>
      <c r="C97">
        <v>2.613105</v>
      </c>
      <c r="D97" t="b">
        <v>1</v>
      </c>
      <c r="E97">
        <v>4710</v>
      </c>
      <c r="F97">
        <v>1.5709999999999998E-2</v>
      </c>
      <c r="G97">
        <v>67.281993</v>
      </c>
      <c r="H97">
        <v>2.1999999999999999E-2</v>
      </c>
      <c r="I97">
        <v>-20.63</v>
      </c>
      <c r="J97">
        <v>1.4669180319999999</v>
      </c>
      <c r="K97">
        <v>262.06308369999999</v>
      </c>
      <c r="L97">
        <v>37</v>
      </c>
      <c r="M97">
        <v>6.1</v>
      </c>
      <c r="N97">
        <v>3</v>
      </c>
      <c r="O97">
        <v>1.7</v>
      </c>
      <c r="P97">
        <v>40</v>
      </c>
      <c r="Q97">
        <v>6.3</v>
      </c>
      <c r="R97">
        <v>0.15263500499999999</v>
      </c>
      <c r="S97" t="s">
        <v>53</v>
      </c>
      <c r="T97" t="s">
        <v>54</v>
      </c>
      <c r="U97">
        <v>0.223903041</v>
      </c>
      <c r="V97">
        <v>3.4048728E-2</v>
      </c>
      <c r="W97">
        <v>0.63972297300000003</v>
      </c>
      <c r="X97">
        <v>9.7282081000000006E-2</v>
      </c>
      <c r="Y97">
        <v>194.87842956411001</v>
      </c>
      <c r="Z97">
        <v>27.884206181769901</v>
      </c>
      <c r="AA97" t="s">
        <v>35</v>
      </c>
      <c r="AB97">
        <v>14.029999732971101</v>
      </c>
      <c r="AC97">
        <v>14.3</v>
      </c>
      <c r="AE97">
        <v>-20</v>
      </c>
    </row>
    <row r="98" spans="1:31" x14ac:dyDescent="0.2">
      <c r="A98" s="1" t="s">
        <v>76</v>
      </c>
      <c r="B98">
        <v>13.94</v>
      </c>
      <c r="C98">
        <v>4.3946100000000001</v>
      </c>
      <c r="D98" t="b">
        <v>1</v>
      </c>
      <c r="E98">
        <v>6968</v>
      </c>
      <c r="F98">
        <v>2.3238999999999999E-2</v>
      </c>
      <c r="G98">
        <v>99.526813000000004</v>
      </c>
      <c r="H98">
        <v>3.1E-2</v>
      </c>
      <c r="I98">
        <v>-21.06</v>
      </c>
      <c r="J98">
        <v>1.7447462149999999</v>
      </c>
      <c r="K98">
        <v>463.16130070000003</v>
      </c>
      <c r="L98">
        <v>119</v>
      </c>
      <c r="M98">
        <v>10.9</v>
      </c>
      <c r="N98">
        <v>7</v>
      </c>
      <c r="O98">
        <v>2.6</v>
      </c>
      <c r="P98">
        <v>126</v>
      </c>
      <c r="Q98">
        <v>11.2</v>
      </c>
      <c r="R98">
        <v>0.27204345400000002</v>
      </c>
      <c r="S98" t="s">
        <v>76</v>
      </c>
      <c r="T98" t="s">
        <v>77</v>
      </c>
      <c r="U98">
        <v>0.47464678700000001</v>
      </c>
      <c r="V98">
        <v>4.1093533000000002E-2</v>
      </c>
      <c r="W98">
        <v>1.356133676</v>
      </c>
      <c r="X98">
        <v>0.11741009299999999</v>
      </c>
      <c r="Y98">
        <v>195.202717498829</v>
      </c>
      <c r="Z98">
        <v>28.090743100129899</v>
      </c>
      <c r="AA98" t="s">
        <v>35</v>
      </c>
      <c r="AB98">
        <v>13.770000457763601</v>
      </c>
      <c r="AC98">
        <v>14.5</v>
      </c>
      <c r="AE98">
        <v>-75</v>
      </c>
    </row>
    <row r="99" spans="1:31" x14ac:dyDescent="0.2">
      <c r="A99" s="1" t="s">
        <v>97</v>
      </c>
      <c r="B99">
        <v>18.055</v>
      </c>
      <c r="D99" t="b">
        <v>0</v>
      </c>
      <c r="I99">
        <v>-16.945</v>
      </c>
      <c r="Y99">
        <v>194.89658333333301</v>
      </c>
      <c r="Z99">
        <v>27.934722222222199</v>
      </c>
      <c r="AA99" t="s">
        <v>35</v>
      </c>
      <c r="AB99">
        <v>18.0550003051757</v>
      </c>
    </row>
    <row r="100" spans="1:31" x14ac:dyDescent="0.2">
      <c r="A100" s="1" t="s">
        <v>148</v>
      </c>
      <c r="B100">
        <v>18.07</v>
      </c>
      <c r="D100" t="b">
        <v>0</v>
      </c>
      <c r="I100">
        <v>-16.93</v>
      </c>
      <c r="Y100">
        <v>194.868763</v>
      </c>
      <c r="Z100">
        <v>28.019259999999999</v>
      </c>
      <c r="AA100" t="s">
        <v>35</v>
      </c>
      <c r="AB100">
        <v>18.069999694824201</v>
      </c>
    </row>
    <row r="101" spans="1:31" x14ac:dyDescent="0.2">
      <c r="A101" s="1" t="s">
        <v>155</v>
      </c>
      <c r="B101">
        <v>18.3</v>
      </c>
      <c r="D101" t="b">
        <v>0</v>
      </c>
      <c r="I101">
        <v>-16.7</v>
      </c>
      <c r="Y101">
        <v>195.09437800000001</v>
      </c>
      <c r="Z101">
        <v>27.965247000000002</v>
      </c>
      <c r="AA101" t="s">
        <v>35</v>
      </c>
      <c r="AB101">
        <v>18.299999237060501</v>
      </c>
    </row>
    <row r="102" spans="1:31" x14ac:dyDescent="0.2">
      <c r="A102" s="1" t="s">
        <v>45</v>
      </c>
      <c r="B102">
        <v>18.344999999999999</v>
      </c>
      <c r="D102" t="b">
        <v>0</v>
      </c>
      <c r="I102">
        <v>-16.655000000000001</v>
      </c>
      <c r="Y102">
        <v>194.89954166666601</v>
      </c>
      <c r="Z102">
        <v>27.9061666666666</v>
      </c>
      <c r="AA102" t="s">
        <v>35</v>
      </c>
      <c r="AB102">
        <v>18.3449993133544</v>
      </c>
    </row>
    <row r="103" spans="1:31" x14ac:dyDescent="0.2">
      <c r="A103" s="1" t="s">
        <v>135</v>
      </c>
      <c r="B103">
        <v>14.35</v>
      </c>
      <c r="C103">
        <v>4.74</v>
      </c>
      <c r="D103" t="b">
        <v>1</v>
      </c>
      <c r="E103">
        <v>8151</v>
      </c>
      <c r="F103">
        <v>2.7210999999999999E-2</v>
      </c>
      <c r="G103">
        <v>116.53789399999999</v>
      </c>
      <c r="H103">
        <v>1.7000000000000001E-2</v>
      </c>
      <c r="I103">
        <v>-20.65</v>
      </c>
      <c r="J103">
        <v>1.4763246370000001</v>
      </c>
      <c r="K103">
        <v>268.6469209</v>
      </c>
      <c r="L103">
        <v>46</v>
      </c>
      <c r="M103">
        <v>6.8</v>
      </c>
      <c r="N103">
        <v>3</v>
      </c>
      <c r="O103">
        <v>1.7</v>
      </c>
      <c r="P103">
        <v>49</v>
      </c>
      <c r="Q103">
        <v>7</v>
      </c>
      <c r="R103">
        <v>0.182395539</v>
      </c>
      <c r="S103" t="s">
        <v>135</v>
      </c>
      <c r="T103" t="s">
        <v>136</v>
      </c>
      <c r="U103">
        <v>0.26927502800000003</v>
      </c>
      <c r="V103">
        <v>3.7271675999999997E-2</v>
      </c>
      <c r="W103">
        <v>0.76935722299999998</v>
      </c>
      <c r="X103">
        <v>0.106490502</v>
      </c>
      <c r="Y103">
        <v>194.98340521470899</v>
      </c>
      <c r="Z103">
        <v>28.034715581050001</v>
      </c>
      <c r="AA103" t="s">
        <v>35</v>
      </c>
      <c r="AB103">
        <v>14.270000457763601</v>
      </c>
      <c r="AC103">
        <v>14.5</v>
      </c>
      <c r="AE103">
        <v>-80</v>
      </c>
    </row>
    <row r="104" spans="1:31" x14ac:dyDescent="0.2">
      <c r="A104" s="1" t="s">
        <v>125</v>
      </c>
      <c r="B104">
        <v>14.11</v>
      </c>
      <c r="C104">
        <v>9.1421550000000007</v>
      </c>
      <c r="D104" t="b">
        <v>1</v>
      </c>
      <c r="E104">
        <v>5824</v>
      </c>
      <c r="F104">
        <v>1.9427E-2</v>
      </c>
      <c r="G104">
        <v>83.200973000000005</v>
      </c>
      <c r="H104">
        <v>0.13700000000000001</v>
      </c>
      <c r="I104">
        <v>-20.89</v>
      </c>
      <c r="J104">
        <v>1.6154479509999999</v>
      </c>
      <c r="K104">
        <v>366.68485229999999</v>
      </c>
      <c r="L104">
        <v>1453</v>
      </c>
      <c r="M104">
        <v>38.1</v>
      </c>
      <c r="N104">
        <v>25</v>
      </c>
      <c r="O104">
        <v>5</v>
      </c>
      <c r="P104">
        <v>1478</v>
      </c>
      <c r="Q104">
        <v>38.4</v>
      </c>
      <c r="R104">
        <v>4.0307091789999996</v>
      </c>
      <c r="S104" t="s">
        <v>126</v>
      </c>
      <c r="T104" t="s">
        <v>126</v>
      </c>
      <c r="U104">
        <v>6.5114008830000003</v>
      </c>
      <c r="V104">
        <v>0.16793174699999999</v>
      </c>
      <c r="W104">
        <v>18.604002520000002</v>
      </c>
      <c r="X104">
        <v>0.47980499100000001</v>
      </c>
      <c r="Y104">
        <v>194.88664867223901</v>
      </c>
      <c r="Z104">
        <v>27.9836176939599</v>
      </c>
      <c r="AA104" t="s">
        <v>35</v>
      </c>
      <c r="AB104">
        <v>14.3599996566772</v>
      </c>
      <c r="AC104">
        <v>14.8</v>
      </c>
      <c r="AE104">
        <v>90</v>
      </c>
    </row>
    <row r="105" spans="1:31" x14ac:dyDescent="0.2">
      <c r="A105" s="1" t="s">
        <v>86</v>
      </c>
      <c r="B105">
        <v>17.309999999999999</v>
      </c>
      <c r="D105" t="b">
        <v>0</v>
      </c>
      <c r="I105">
        <v>-17.690000000000001</v>
      </c>
      <c r="Y105">
        <v>195.055833333333</v>
      </c>
      <c r="Z105">
        <v>28.0534166666666</v>
      </c>
      <c r="AA105" t="s">
        <v>35</v>
      </c>
      <c r="AB105">
        <v>17.309999465942301</v>
      </c>
      <c r="AC105">
        <v>15.14</v>
      </c>
      <c r="AD105">
        <v>4.16</v>
      </c>
      <c r="AE105">
        <v>82</v>
      </c>
    </row>
    <row r="106" spans="1:31" x14ac:dyDescent="0.2">
      <c r="A106" s="1" t="s">
        <v>47</v>
      </c>
      <c r="B106">
        <v>18.765999999999998</v>
      </c>
      <c r="D106" t="b">
        <v>0</v>
      </c>
      <c r="I106">
        <v>-16.234000000000002</v>
      </c>
      <c r="Y106">
        <v>195.185458333333</v>
      </c>
      <c r="Z106">
        <v>27.942638888888801</v>
      </c>
      <c r="AA106" t="s">
        <v>35</v>
      </c>
      <c r="AB106">
        <v>18.7660007476806</v>
      </c>
    </row>
    <row r="107" spans="1:31" x14ac:dyDescent="0.2">
      <c r="A107" s="1" t="s">
        <v>163</v>
      </c>
      <c r="B107">
        <v>17.077000000000002</v>
      </c>
      <c r="D107" t="b">
        <v>0</v>
      </c>
      <c r="I107">
        <v>-17.922999999999998</v>
      </c>
      <c r="Y107">
        <v>195.21315100000001</v>
      </c>
      <c r="Z107">
        <v>28.047139000000001</v>
      </c>
      <c r="AA107" t="s">
        <v>35</v>
      </c>
      <c r="AB107">
        <v>17.076999664306602</v>
      </c>
      <c r="AC107">
        <v>15.45</v>
      </c>
      <c r="AD107">
        <v>13.78</v>
      </c>
      <c r="AE107">
        <v>13.6</v>
      </c>
    </row>
    <row r="108" spans="1:31" x14ac:dyDescent="0.2">
      <c r="A108" s="1" t="s">
        <v>82</v>
      </c>
      <c r="B108">
        <v>16.57</v>
      </c>
      <c r="D108" t="b">
        <v>0</v>
      </c>
      <c r="I108">
        <v>-18.43</v>
      </c>
      <c r="Y108">
        <v>195.10342600000001</v>
      </c>
      <c r="Z108">
        <v>27.926621999999998</v>
      </c>
      <c r="AA108" t="s">
        <v>35</v>
      </c>
      <c r="AB108">
        <v>16.569999694824201</v>
      </c>
      <c r="AC108">
        <v>15.91</v>
      </c>
      <c r="AD108">
        <v>5.32</v>
      </c>
      <c r="AE108">
        <v>157.4</v>
      </c>
    </row>
    <row r="109" spans="1:31" x14ac:dyDescent="0.2">
      <c r="A109" s="1" t="s">
        <v>75</v>
      </c>
      <c r="B109">
        <v>14.01</v>
      </c>
      <c r="D109" t="b">
        <v>1</v>
      </c>
      <c r="I109">
        <v>-20.99</v>
      </c>
      <c r="Y109">
        <v>195.17816482644901</v>
      </c>
      <c r="Z109">
        <v>27.971271982459999</v>
      </c>
      <c r="AA109" t="s">
        <v>35</v>
      </c>
      <c r="AB109">
        <v>14.0100002288818</v>
      </c>
      <c r="AC109">
        <v>16.600000000000001</v>
      </c>
      <c r="AE109">
        <v>40</v>
      </c>
    </row>
    <row r="110" spans="1:31" x14ac:dyDescent="0.2">
      <c r="A110" s="1" t="s">
        <v>119</v>
      </c>
      <c r="B110">
        <v>13.76</v>
      </c>
      <c r="C110">
        <v>5.24</v>
      </c>
      <c r="D110" t="b">
        <v>1</v>
      </c>
      <c r="E110">
        <v>6859</v>
      </c>
      <c r="F110">
        <v>2.282E-2</v>
      </c>
      <c r="G110">
        <v>97.732341000000005</v>
      </c>
      <c r="H110">
        <v>4.9000000000000002E-2</v>
      </c>
      <c r="I110">
        <v>-21.24</v>
      </c>
      <c r="J110">
        <v>1.911230502</v>
      </c>
      <c r="K110">
        <v>598.84312469999998</v>
      </c>
      <c r="L110">
        <v>274</v>
      </c>
      <c r="M110">
        <v>16.600000000000001</v>
      </c>
      <c r="N110">
        <v>6</v>
      </c>
      <c r="O110">
        <v>2.4</v>
      </c>
      <c r="P110">
        <v>280</v>
      </c>
      <c r="Q110">
        <v>16.7</v>
      </c>
      <c r="R110">
        <v>0.46756819700000002</v>
      </c>
      <c r="S110" t="s">
        <v>119</v>
      </c>
      <c r="T110" t="s">
        <v>120</v>
      </c>
      <c r="U110">
        <v>0.89363059899999997</v>
      </c>
      <c r="V110">
        <v>5.2829350999999997E-2</v>
      </c>
      <c r="W110">
        <v>2.5532302840000001</v>
      </c>
      <c r="X110">
        <v>0.15094100199999999</v>
      </c>
      <c r="Y110">
        <v>194.84732847876001</v>
      </c>
      <c r="Z110">
        <v>27.911592190099999</v>
      </c>
      <c r="AA110" t="s">
        <v>35</v>
      </c>
      <c r="AB110">
        <v>13.520000457763601</v>
      </c>
      <c r="AC110">
        <v>17.399999999999999</v>
      </c>
      <c r="AE110">
        <v>0</v>
      </c>
    </row>
    <row r="111" spans="1:31" x14ac:dyDescent="0.2">
      <c r="A111" s="1" t="s">
        <v>153</v>
      </c>
      <c r="B111">
        <v>13.862</v>
      </c>
      <c r="D111" t="b">
        <v>0</v>
      </c>
      <c r="I111">
        <v>-21.137999999999899</v>
      </c>
      <c r="Y111">
        <v>195.07366377992</v>
      </c>
      <c r="Z111">
        <v>27.955262751709999</v>
      </c>
      <c r="AA111" t="s">
        <v>35</v>
      </c>
      <c r="AB111">
        <v>13.862000465393001</v>
      </c>
      <c r="AC111">
        <v>17.899999999999999</v>
      </c>
      <c r="AE111">
        <v>-80</v>
      </c>
    </row>
    <row r="112" spans="1:31" x14ac:dyDescent="0.2">
      <c r="A112" s="1" t="s">
        <v>78</v>
      </c>
      <c r="B112">
        <v>13.63</v>
      </c>
      <c r="C112">
        <v>8.1999999999999993</v>
      </c>
      <c r="D112" t="b">
        <v>1</v>
      </c>
      <c r="E112">
        <v>8793</v>
      </c>
      <c r="F112">
        <v>2.9238E-2</v>
      </c>
      <c r="G112">
        <v>125.219027</v>
      </c>
      <c r="H112">
        <v>0.29399999999999998</v>
      </c>
      <c r="I112">
        <v>-21.369999999999902</v>
      </c>
      <c r="J112">
        <v>2.051319436</v>
      </c>
      <c r="K112">
        <v>724.49150080000004</v>
      </c>
      <c r="L112">
        <v>1273</v>
      </c>
      <c r="M112">
        <v>35.700000000000003</v>
      </c>
      <c r="N112">
        <v>73</v>
      </c>
      <c r="O112">
        <v>8.5</v>
      </c>
      <c r="P112">
        <v>1346</v>
      </c>
      <c r="Q112">
        <v>36.700000000000003</v>
      </c>
      <c r="R112">
        <v>1.8578547830000001</v>
      </c>
      <c r="S112" t="s">
        <v>79</v>
      </c>
      <c r="T112" t="s">
        <v>79</v>
      </c>
      <c r="U112">
        <v>3.8110536260000001</v>
      </c>
      <c r="V112">
        <v>0.10102159199999999</v>
      </c>
      <c r="W112">
        <v>10.88872465</v>
      </c>
      <c r="X112">
        <v>0.28863311899999999</v>
      </c>
      <c r="Y112">
        <v>195.22692933466001</v>
      </c>
      <c r="Z112">
        <v>28.007639484249999</v>
      </c>
      <c r="AA112" t="s">
        <v>35</v>
      </c>
      <c r="AB112">
        <v>13.5</v>
      </c>
      <c r="AC112">
        <v>19.5</v>
      </c>
      <c r="AE112">
        <v>55</v>
      </c>
    </row>
    <row r="113" spans="1:30" x14ac:dyDescent="0.2">
      <c r="A113" s="1" t="s">
        <v>141</v>
      </c>
      <c r="B113">
        <v>13.48</v>
      </c>
      <c r="C113">
        <v>4.3406549999999999</v>
      </c>
      <c r="D113" t="b">
        <v>1</v>
      </c>
      <c r="E113">
        <v>6661</v>
      </c>
      <c r="F113">
        <v>2.2218999999999999E-2</v>
      </c>
      <c r="G113">
        <v>95.158409000000006</v>
      </c>
      <c r="H113">
        <v>4.9000000000000002E-2</v>
      </c>
      <c r="I113">
        <v>-21.52</v>
      </c>
      <c r="J113">
        <v>2.234575322</v>
      </c>
      <c r="K113">
        <v>906.13936620000004</v>
      </c>
      <c r="L113">
        <v>103</v>
      </c>
      <c r="M113">
        <v>10.1</v>
      </c>
      <c r="N113">
        <v>6</v>
      </c>
      <c r="O113">
        <v>2.4</v>
      </c>
      <c r="P113">
        <v>109</v>
      </c>
      <c r="Q113">
        <v>10.4</v>
      </c>
      <c r="R113">
        <v>0.120290547</v>
      </c>
      <c r="S113" t="s">
        <v>141</v>
      </c>
      <c r="T113" t="s">
        <v>142</v>
      </c>
      <c r="U113">
        <v>0.268798288</v>
      </c>
      <c r="V113">
        <v>2.5027567000000001E-2</v>
      </c>
      <c r="W113">
        <v>0.76799510800000004</v>
      </c>
      <c r="X113">
        <v>7.1507334000000006E-2</v>
      </c>
      <c r="Y113">
        <v>195.07333333333301</v>
      </c>
      <c r="Z113">
        <v>27.956111111111099</v>
      </c>
      <c r="AA113" t="s">
        <v>35</v>
      </c>
      <c r="AC113">
        <v>0.4</v>
      </c>
      <c r="AD113">
        <v>0.25</v>
      </c>
    </row>
  </sheetData>
  <autoFilter ref="A1:AE113" xr:uid="{85B6939E-8F5A-EC4B-ACE0-DC8D8D4049F9}">
    <sortState xmlns:xlrd2="http://schemas.microsoft.com/office/spreadsheetml/2017/richdata2" ref="A4:AE112">
      <sortCondition ref="AC1:AC1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Sheet3</vt:lpstr>
      <vt:lpstr>Sheet2</vt:lpstr>
      <vt:lpstr>Chart1</vt:lpstr>
      <vt:lpstr>Sheet2!gals_data_cleaned</vt:lpstr>
      <vt:lpstr>Sheet3!HST_2025_09_01T10_32_18_05_00</vt:lpstr>
      <vt:lpstr>Sheet3!HST_2025_09_01T10_32_41_05_00</vt:lpstr>
      <vt:lpstr>Sheet3!HST_2025_09_01T10_33_12_05_00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Pomeroy</dc:creator>
  <cp:lastModifiedBy>Richard Pomeroy</cp:lastModifiedBy>
  <dcterms:created xsi:type="dcterms:W3CDTF">2025-08-22T14:31:11Z</dcterms:created>
  <dcterms:modified xsi:type="dcterms:W3CDTF">2025-11-25T22:50:08Z</dcterms:modified>
</cp:coreProperties>
</file>