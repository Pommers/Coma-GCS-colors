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/PycharmProjects/Coma_LSD_CSS/"/>
    </mc:Choice>
  </mc:AlternateContent>
  <xr:revisionPtr revIDLastSave="0" documentId="8_{7CD3EDB1-5256-8849-BB3B-8A57C6704F06}" xr6:coauthVersionLast="47" xr6:coauthVersionMax="47" xr10:uidLastSave="{00000000-0000-0000-0000-000000000000}"/>
  <bookViews>
    <workbookView xWindow="160" yWindow="680" windowWidth="35520" windowHeight="21580" xr2:uid="{2A890EB0-395E-AE49-B7FA-F3172BA91688}"/>
  </bookViews>
  <sheets>
    <sheet name="Sheet1" sheetId="1" r:id="rId1"/>
    <sheet name="Sheet3" sheetId="3" r:id="rId2"/>
    <sheet name="MW_GCs" sheetId="2" r:id="rId3"/>
  </sheets>
  <definedNames>
    <definedName name="a_0">Sheet1!$P$3</definedName>
    <definedName name="b_1">Sheet1!$O$3</definedName>
    <definedName name="c_2">Sheet1!$N$3</definedName>
    <definedName name="d_3">Sheet1!$M$3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9" i="1"/>
  <c r="K11" i="1"/>
  <c r="K12" i="1"/>
  <c r="K13" i="1"/>
  <c r="K14" i="1"/>
  <c r="K15" i="1"/>
  <c r="K16" i="1"/>
  <c r="K17" i="1"/>
  <c r="K18" i="1"/>
  <c r="K22" i="1"/>
  <c r="K25" i="1"/>
  <c r="K26" i="1"/>
  <c r="K27" i="1"/>
  <c r="K28" i="1"/>
  <c r="K29" i="1"/>
  <c r="K2" i="1"/>
  <c r="J4" i="1"/>
  <c r="J5" i="1"/>
  <c r="J6" i="1"/>
  <c r="J20" i="1"/>
  <c r="J21" i="1"/>
  <c r="J22" i="1"/>
  <c r="N10" i="1"/>
  <c r="N11" i="1"/>
  <c r="N12" i="1"/>
  <c r="N13" i="1"/>
  <c r="N14" i="1"/>
  <c r="N15" i="1"/>
  <c r="N9" i="1"/>
  <c r="E3" i="1"/>
  <c r="F3" i="1" s="1"/>
  <c r="G3" i="1" s="1"/>
  <c r="J3" i="1" s="1"/>
  <c r="E4" i="1"/>
  <c r="F4" i="1" s="1"/>
  <c r="G4" i="1" s="1"/>
  <c r="E5" i="1"/>
  <c r="F5" i="1" s="1"/>
  <c r="G5" i="1" s="1"/>
  <c r="E6" i="1"/>
  <c r="F6" i="1" s="1"/>
  <c r="G6" i="1" s="1"/>
  <c r="E7" i="1"/>
  <c r="F7" i="1" s="1"/>
  <c r="G7" i="1" s="1"/>
  <c r="J7" i="1" s="1"/>
  <c r="E8" i="1"/>
  <c r="F8" i="1" s="1"/>
  <c r="G8" i="1" s="1"/>
  <c r="J8" i="1" s="1"/>
  <c r="E9" i="1"/>
  <c r="F9" i="1" s="1"/>
  <c r="G9" i="1" s="1"/>
  <c r="J9" i="1" s="1"/>
  <c r="E10" i="1"/>
  <c r="F10" i="1" s="1"/>
  <c r="G10" i="1" s="1"/>
  <c r="J10" i="1" s="1"/>
  <c r="E11" i="1"/>
  <c r="F11" i="1" s="1"/>
  <c r="G11" i="1" s="1"/>
  <c r="J11" i="1" s="1"/>
  <c r="E12" i="1"/>
  <c r="F12" i="1" s="1"/>
  <c r="G12" i="1" s="1"/>
  <c r="J12" i="1" s="1"/>
  <c r="E13" i="1"/>
  <c r="F13" i="1" s="1"/>
  <c r="G13" i="1" s="1"/>
  <c r="J13" i="1" s="1"/>
  <c r="E14" i="1"/>
  <c r="F14" i="1" s="1"/>
  <c r="G14" i="1" s="1"/>
  <c r="J14" i="1" s="1"/>
  <c r="E15" i="1"/>
  <c r="F15" i="1" s="1"/>
  <c r="G15" i="1" s="1"/>
  <c r="J15" i="1" s="1"/>
  <c r="E16" i="1"/>
  <c r="F16" i="1" s="1"/>
  <c r="G16" i="1" s="1"/>
  <c r="J16" i="1" s="1"/>
  <c r="E17" i="1"/>
  <c r="F17" i="1" s="1"/>
  <c r="G17" i="1" s="1"/>
  <c r="J17" i="1" s="1"/>
  <c r="E18" i="1"/>
  <c r="F18" i="1" s="1"/>
  <c r="G18" i="1" s="1"/>
  <c r="J18" i="1" s="1"/>
  <c r="E19" i="1"/>
  <c r="F19" i="1" s="1"/>
  <c r="G19" i="1" s="1"/>
  <c r="J19" i="1" s="1"/>
  <c r="E20" i="1"/>
  <c r="F20" i="1" s="1"/>
  <c r="G20" i="1" s="1"/>
  <c r="E21" i="1"/>
  <c r="F21" i="1" s="1"/>
  <c r="G21" i="1" s="1"/>
  <c r="E22" i="1"/>
  <c r="F22" i="1" s="1"/>
  <c r="G22" i="1" s="1"/>
  <c r="E23" i="1"/>
  <c r="F23" i="1" s="1"/>
  <c r="G23" i="1" s="1"/>
  <c r="J23" i="1" s="1"/>
  <c r="E24" i="1"/>
  <c r="F24" i="1" s="1"/>
  <c r="G24" i="1" s="1"/>
  <c r="J24" i="1" s="1"/>
  <c r="E25" i="1"/>
  <c r="F25" i="1" s="1"/>
  <c r="G25" i="1" s="1"/>
  <c r="J25" i="1" s="1"/>
  <c r="E26" i="1"/>
  <c r="F26" i="1" s="1"/>
  <c r="G26" i="1" s="1"/>
  <c r="J26" i="1" s="1"/>
  <c r="E27" i="1"/>
  <c r="F27" i="1" s="1"/>
  <c r="G27" i="1" s="1"/>
  <c r="J27" i="1" s="1"/>
  <c r="E28" i="1"/>
  <c r="F28" i="1" s="1"/>
  <c r="G28" i="1" s="1"/>
  <c r="J28" i="1" s="1"/>
  <c r="E29" i="1"/>
  <c r="F29" i="1" s="1"/>
  <c r="G29" i="1" s="1"/>
  <c r="J29" i="1" s="1"/>
  <c r="E2" i="1"/>
  <c r="F2" i="1" s="1"/>
  <c r="G2" i="1" s="1"/>
  <c r="J2" i="1" s="1"/>
  <c r="K10" i="1" l="1"/>
  <c r="K24" i="1"/>
  <c r="K8" i="1"/>
  <c r="K23" i="1"/>
  <c r="K7" i="1"/>
  <c r="K21" i="1"/>
  <c r="K20" i="1"/>
  <c r="K4" i="1"/>
  <c r="K19" i="1"/>
  <c r="K3" i="1"/>
</calcChain>
</file>

<file path=xl/sharedStrings.xml><?xml version="1.0" encoding="utf-8"?>
<sst xmlns="http://schemas.openxmlformats.org/spreadsheetml/2006/main" count="639" uniqueCount="583">
  <si>
    <t>IC 3973</t>
  </si>
  <si>
    <t>IC 3976</t>
  </si>
  <si>
    <t>IC 3998</t>
  </si>
  <si>
    <t>IC 4011</t>
  </si>
  <si>
    <t>IC 4012</t>
  </si>
  <si>
    <t>IC 4021</t>
  </si>
  <si>
    <t>IC 4026</t>
  </si>
  <si>
    <t>IC 4030</t>
  </si>
  <si>
    <t>IC 4033</t>
  </si>
  <si>
    <t>IC 4040</t>
  </si>
  <si>
    <t>IC 4041</t>
  </si>
  <si>
    <t>IC 4045</t>
  </si>
  <si>
    <t>IC 4051</t>
  </si>
  <si>
    <t>NGC 4867</t>
  </si>
  <si>
    <t>NGC 4869</t>
  </si>
  <si>
    <t>NGC 4871</t>
  </si>
  <si>
    <t>NGC 4872</t>
  </si>
  <si>
    <t>NGC 4873</t>
  </si>
  <si>
    <t>NGC 4874</t>
  </si>
  <si>
    <t>NGC 4875</t>
  </si>
  <si>
    <t>NGC 4876</t>
  </si>
  <si>
    <t>NGC 4882</t>
  </si>
  <si>
    <t>NGC 4883</t>
  </si>
  <si>
    <t>NGC 4889</t>
  </si>
  <si>
    <t>NGC 4894</t>
  </si>
  <si>
    <t>NGC 4898</t>
  </si>
  <si>
    <t>NGC 4906</t>
  </si>
  <si>
    <t>NGC 4908</t>
  </si>
  <si>
    <t>Galaxy Name</t>
  </si>
  <si>
    <t>mV (mag)</t>
  </si>
  <si>
    <t>velocity (km/s)</t>
  </si>
  <si>
    <t>GC Surface Density (N/"^2)</t>
  </si>
  <si>
    <t>MV (mag)</t>
  </si>
  <si>
    <t>Sn</t>
  </si>
  <si>
    <t xml:space="preserve">S_N=N_t 10^0.4(M_V+15) </t>
  </si>
  <si>
    <t>a</t>
  </si>
  <si>
    <t>b</t>
  </si>
  <si>
    <t>c</t>
  </si>
  <si>
    <t>d</t>
  </si>
  <si>
    <t>M_V</t>
  </si>
  <si>
    <t>S_N</t>
  </si>
  <si>
    <t>Ncss</t>
  </si>
  <si>
    <t>ID</t>
  </si>
  <si>
    <t>Name</t>
  </si>
  <si>
    <t>RA   (2000)</t>
  </si>
  <si>
    <t>DEC</t>
  </si>
  <si>
    <t>L</t>
  </si>
  <si>
    <t>B</t>
  </si>
  <si>
    <t>R_Sun</t>
  </si>
  <si>
    <t>R_gc</t>
  </si>
  <si>
    <t>X</t>
  </si>
  <si>
    <t>Y</t>
  </si>
  <si>
    <t>Z</t>
  </si>
  <si>
    <t>NGC 104</t>
  </si>
  <si>
    <t>47 Tuc</t>
  </si>
  <si>
    <t>00 24 05.67</t>
  </si>
  <si>
    <t>-72 04 52.6</t>
  </si>
  <si>
    <t>NGC 288</t>
  </si>
  <si>
    <t>00 52 45.24</t>
  </si>
  <si>
    <t>-26 34 57.4</t>
  </si>
  <si>
    <t>NGC 362</t>
  </si>
  <si>
    <t>01 03 14.26</t>
  </si>
  <si>
    <t>-70 50 55.6</t>
  </si>
  <si>
    <t>Whiting 1</t>
  </si>
  <si>
    <t>02 02 57</t>
  </si>
  <si>
    <t>-03 15 10</t>
  </si>
  <si>
    <t>NGC 1261</t>
  </si>
  <si>
    <t>03 12 16.21</t>
  </si>
  <si>
    <t>-55 12 58.4</t>
  </si>
  <si>
    <t>Pal 1</t>
  </si>
  <si>
    <t>03 33 20.04</t>
  </si>
  <si>
    <t>+79 34 51.8</t>
  </si>
  <si>
    <t>AM 1</t>
  </si>
  <si>
    <t>E 1</t>
  </si>
  <si>
    <t>03 55 02.3</t>
  </si>
  <si>
    <t>-49 36 55</t>
  </si>
  <si>
    <t>Eridanus</t>
  </si>
  <si>
    <t>04 24 44.5</t>
  </si>
  <si>
    <t>-21 11 13</t>
  </si>
  <si>
    <t>Pal 2</t>
  </si>
  <si>
    <t>04 46 05.91</t>
  </si>
  <si>
    <t>+31 22 53.4</t>
  </si>
  <si>
    <t>NGC 1851</t>
  </si>
  <si>
    <t>05 14 06.76</t>
  </si>
  <si>
    <t>-40 02 47.6</t>
  </si>
  <si>
    <t>NGC 1904</t>
  </si>
  <si>
    <t>M 79</t>
  </si>
  <si>
    <t>05 24 11.09</t>
  </si>
  <si>
    <t>-24 31 29.0</t>
  </si>
  <si>
    <t>NGC 2298</t>
  </si>
  <si>
    <t>06 48 59.41</t>
  </si>
  <si>
    <t>-36 00 19.1</t>
  </si>
  <si>
    <t>NGC 2419</t>
  </si>
  <si>
    <t>07 38 08.47</t>
  </si>
  <si>
    <t>+38 52 56.8</t>
  </si>
  <si>
    <t>Ko 2</t>
  </si>
  <si>
    <t>07 58 17.0</t>
  </si>
  <si>
    <t>+26 15 18</t>
  </si>
  <si>
    <t>Pyxis</t>
  </si>
  <si>
    <t>09 07 57.8</t>
  </si>
  <si>
    <t>-37 13 17</t>
  </si>
  <si>
    <t>NGC 2808</t>
  </si>
  <si>
    <t>09 12 03.10</t>
  </si>
  <si>
    <t>-64 51 48.6</t>
  </si>
  <si>
    <t>E 3</t>
  </si>
  <si>
    <t>09 20 57.07</t>
  </si>
  <si>
    <t>-77 16 54.8</t>
  </si>
  <si>
    <t>Pal 3</t>
  </si>
  <si>
    <t>10 05 31.9</t>
  </si>
  <si>
    <t>+00 04 18</t>
  </si>
  <si>
    <t>NGC 3201</t>
  </si>
  <si>
    <t>10 17 36.82</t>
  </si>
  <si>
    <t>-46 24 44.9</t>
  </si>
  <si>
    <t>Pal 4</t>
  </si>
  <si>
    <t>11 29 16.80</t>
  </si>
  <si>
    <t>+28 58 24.9</t>
  </si>
  <si>
    <t>Ko 1</t>
  </si>
  <si>
    <t>11 59 18.5</t>
  </si>
  <si>
    <t>+12 15 36</t>
  </si>
  <si>
    <t>NGC 4147</t>
  </si>
  <si>
    <t>12 10 06.30</t>
  </si>
  <si>
    <t>+18 32 33.5</t>
  </si>
  <si>
    <t>NGC 4372</t>
  </si>
  <si>
    <t>12 25 45.40</t>
  </si>
  <si>
    <t>-72 39 32.4</t>
  </si>
  <si>
    <t>Rup 106</t>
  </si>
  <si>
    <t>12 38 40.2</t>
  </si>
  <si>
    <t>-51 09 01</t>
  </si>
  <si>
    <t>NGC 4590</t>
  </si>
  <si>
    <t>M 68</t>
  </si>
  <si>
    <t>12 39 27.98</t>
  </si>
  <si>
    <t>-26 44 38.6</t>
  </si>
  <si>
    <t>NGC 4833</t>
  </si>
  <si>
    <t>12 59 33.92</t>
  </si>
  <si>
    <t>-70 52 35.4</t>
  </si>
  <si>
    <t>NGC 5024</t>
  </si>
  <si>
    <t>M 53</t>
  </si>
  <si>
    <t>13 12 55.25</t>
  </si>
  <si>
    <t>+18 10 05.4</t>
  </si>
  <si>
    <t>NGC 5053</t>
  </si>
  <si>
    <t>13 16 27.09</t>
  </si>
  <si>
    <t>+17 42 00.9</t>
  </si>
  <si>
    <t>NGC 5139</t>
  </si>
  <si>
    <t>omega Cen</t>
  </si>
  <si>
    <t>13 26 47.24</t>
  </si>
  <si>
    <t>-47 28 46.5</t>
  </si>
  <si>
    <t>NGC 5272</t>
  </si>
  <si>
    <t>M 3</t>
  </si>
  <si>
    <t>13 42 11.62</t>
  </si>
  <si>
    <t>+28 22 38.2</t>
  </si>
  <si>
    <t>NGC 5286</t>
  </si>
  <si>
    <t>13 46 26.81</t>
  </si>
  <si>
    <t>-51 22 27.3</t>
  </si>
  <si>
    <t>AM 4</t>
  </si>
  <si>
    <t>13 56 21.7</t>
  </si>
  <si>
    <t>-27 10 03</t>
  </si>
  <si>
    <t>NGC 5466</t>
  </si>
  <si>
    <t>14 05 27.29</t>
  </si>
  <si>
    <t>+28 32 04.0</t>
  </si>
  <si>
    <t>NGC 5634</t>
  </si>
  <si>
    <t>14 29 37.23</t>
  </si>
  <si>
    <t>-05 58 35.1</t>
  </si>
  <si>
    <t>NGC 5694</t>
  </si>
  <si>
    <t>14 39 36.29</t>
  </si>
  <si>
    <t>-26 32 20.2</t>
  </si>
  <si>
    <t>IC 4499</t>
  </si>
  <si>
    <t>15 00 18.45</t>
  </si>
  <si>
    <t>-82 12 49.3</t>
  </si>
  <si>
    <t>NGC 5824</t>
  </si>
  <si>
    <t>15 03 58.63</t>
  </si>
  <si>
    <t>-33 04 05.6</t>
  </si>
  <si>
    <t>Pal 5</t>
  </si>
  <si>
    <t>15 16 05.25</t>
  </si>
  <si>
    <t>-00 06 41.8</t>
  </si>
  <si>
    <t>NGC 5897</t>
  </si>
  <si>
    <t>15 17 24.50</t>
  </si>
  <si>
    <t>-21 00 37.0</t>
  </si>
  <si>
    <t>NGC 5904</t>
  </si>
  <si>
    <t>M 5</t>
  </si>
  <si>
    <t>15 18 33.22</t>
  </si>
  <si>
    <t>+02 04 51.7</t>
  </si>
  <si>
    <t>NGC 5927</t>
  </si>
  <si>
    <t>15 28 00.69</t>
  </si>
  <si>
    <t>-50 40 22.9</t>
  </si>
  <si>
    <t>NGC 5946</t>
  </si>
  <si>
    <t>15 35 28.52</t>
  </si>
  <si>
    <t>-50 39 34.8</t>
  </si>
  <si>
    <t>BH 176</t>
  </si>
  <si>
    <t>15 39 07.45</t>
  </si>
  <si>
    <t>-50 03 09.8</t>
  </si>
  <si>
    <t>NGC 5986</t>
  </si>
  <si>
    <t>15 46 03.00</t>
  </si>
  <si>
    <t>-37 47 11.1</t>
  </si>
  <si>
    <t>Lynga 7</t>
  </si>
  <si>
    <t>BH184</t>
  </si>
  <si>
    <t>16 11 03.65</t>
  </si>
  <si>
    <t>-55 19 04.0</t>
  </si>
  <si>
    <t>Pal 14</t>
  </si>
  <si>
    <t>AvdB</t>
  </si>
  <si>
    <t>16 11 00.6</t>
  </si>
  <si>
    <t>+14 57 28</t>
  </si>
  <si>
    <t>NGC 6093</t>
  </si>
  <si>
    <t>M 80</t>
  </si>
  <si>
    <t>16 17 02.41</t>
  </si>
  <si>
    <t>-22 58 33.9</t>
  </si>
  <si>
    <t>NGC 6121</t>
  </si>
  <si>
    <t>M 4</t>
  </si>
  <si>
    <t>16 23 35.22</t>
  </si>
  <si>
    <t>-26 31 32.7</t>
  </si>
  <si>
    <t>NGC 6101</t>
  </si>
  <si>
    <t>16 25 48.12</t>
  </si>
  <si>
    <t>-72 12 07.9</t>
  </si>
  <si>
    <t>NGC 6144</t>
  </si>
  <si>
    <t>16 27 13.86</t>
  </si>
  <si>
    <t>-26 01 24.6</t>
  </si>
  <si>
    <t>NGC 6139</t>
  </si>
  <si>
    <t>16 27 40.37</t>
  </si>
  <si>
    <t>-38 50 55.5</t>
  </si>
  <si>
    <t>Terzan 3</t>
  </si>
  <si>
    <t>16 28 40.08</t>
  </si>
  <si>
    <t>-35 21 12.5</t>
  </si>
  <si>
    <t>NGC 6171</t>
  </si>
  <si>
    <t>M 107</t>
  </si>
  <si>
    <t>16 32 31.86</t>
  </si>
  <si>
    <t>-13 03 13.6</t>
  </si>
  <si>
    <t>1636-283</t>
  </si>
  <si>
    <t>ESO452-SC11</t>
  </si>
  <si>
    <t>16 39 25.45</t>
  </si>
  <si>
    <t>-28 23 55.3</t>
  </si>
  <si>
    <t>NGC 6205</t>
  </si>
  <si>
    <t>M 13</t>
  </si>
  <si>
    <t>16 41 41.24</t>
  </si>
  <si>
    <t>+36 27 35.5</t>
  </si>
  <si>
    <t>NGC 6229</t>
  </si>
  <si>
    <t>16 46 58.79</t>
  </si>
  <si>
    <t>+47 31 39.9</t>
  </si>
  <si>
    <t>NGC 6218</t>
  </si>
  <si>
    <t>M 12</t>
  </si>
  <si>
    <t>16 47 14.18</t>
  </si>
  <si>
    <t>-01 56 54.7</t>
  </si>
  <si>
    <t>FSR 1735</t>
  </si>
  <si>
    <t>16 52 10.6</t>
  </si>
  <si>
    <t>-47 03 29</t>
  </si>
  <si>
    <t>NGC 6235</t>
  </si>
  <si>
    <t>16 53 25.31</t>
  </si>
  <si>
    <t>-22 10 38.8</t>
  </si>
  <si>
    <t>NGC 6254</t>
  </si>
  <si>
    <t>M 10</t>
  </si>
  <si>
    <t>16 57 09.05</t>
  </si>
  <si>
    <t>-04 06 01.1</t>
  </si>
  <si>
    <t>NGC 6256</t>
  </si>
  <si>
    <t>16 59 32.62</t>
  </si>
  <si>
    <t>-37 07 17.0</t>
  </si>
  <si>
    <t>Pal 15</t>
  </si>
  <si>
    <t>16 59 51.0</t>
  </si>
  <si>
    <t>-00 32 20</t>
  </si>
  <si>
    <t>NGC 6266</t>
  </si>
  <si>
    <t>M 62</t>
  </si>
  <si>
    <t>17 01 12.80</t>
  </si>
  <si>
    <t>-30 06 49.4</t>
  </si>
  <si>
    <t>NGC 6273</t>
  </si>
  <si>
    <t>M 19</t>
  </si>
  <si>
    <t>17 02 37.80</t>
  </si>
  <si>
    <t>-26 16 04.7</t>
  </si>
  <si>
    <t>NGC 6284</t>
  </si>
  <si>
    <t>17 04 28.51</t>
  </si>
  <si>
    <t>-24 45 53.5</t>
  </si>
  <si>
    <t>NGC 6287</t>
  </si>
  <si>
    <t>17 05 09.13</t>
  </si>
  <si>
    <t>-22 42 30.1</t>
  </si>
  <si>
    <t>NGC 6293</t>
  </si>
  <si>
    <t>17 10 10.20</t>
  </si>
  <si>
    <t>-26 34 55.5</t>
  </si>
  <si>
    <t>NGC 6304</t>
  </si>
  <si>
    <t>17 14 32.25</t>
  </si>
  <si>
    <t>-29 27 43.3</t>
  </si>
  <si>
    <t>NGC 6316</t>
  </si>
  <si>
    <t>17 16 37.30</t>
  </si>
  <si>
    <t>-28 08 24.4</t>
  </si>
  <si>
    <t>NGC 6341</t>
  </si>
  <si>
    <t>M 92</t>
  </si>
  <si>
    <t>17 17 07.39</t>
  </si>
  <si>
    <t>+43 08 09.4</t>
  </si>
  <si>
    <t>NGC 6325</t>
  </si>
  <si>
    <t>17 17 59.21</t>
  </si>
  <si>
    <t>-23 45 57.6</t>
  </si>
  <si>
    <t>NGC 6333</t>
  </si>
  <si>
    <t>M 9</t>
  </si>
  <si>
    <t>17 19 11.26</t>
  </si>
  <si>
    <t>-18 30 57.4</t>
  </si>
  <si>
    <t>NGC 6342</t>
  </si>
  <si>
    <t>17 21 10.08</t>
  </si>
  <si>
    <t>-19 35 14.7</t>
  </si>
  <si>
    <t>NGC 6356</t>
  </si>
  <si>
    <t>17 23 34.93</t>
  </si>
  <si>
    <t>-17 48 46.9</t>
  </si>
  <si>
    <t>NGC 6355</t>
  </si>
  <si>
    <t>17 23 58.59</t>
  </si>
  <si>
    <t>-26 21 12.3</t>
  </si>
  <si>
    <t>NGC 6352</t>
  </si>
  <si>
    <t>17 25 29.11</t>
  </si>
  <si>
    <t>-48 25 19.8</t>
  </si>
  <si>
    <t>IC 1257</t>
  </si>
  <si>
    <t>17 27 08.5</t>
  </si>
  <si>
    <t>-07 05 35</t>
  </si>
  <si>
    <t>Terzan 2</t>
  </si>
  <si>
    <t>HP 3</t>
  </si>
  <si>
    <t>17 27 33.10</t>
  </si>
  <si>
    <t>-30 48 08.4</t>
  </si>
  <si>
    <t>NGC 6366</t>
  </si>
  <si>
    <t>17 27 44.24</t>
  </si>
  <si>
    <t>-05 04 47.5</t>
  </si>
  <si>
    <t>Terzan 4</t>
  </si>
  <si>
    <t>HP 4</t>
  </si>
  <si>
    <t>17 30 39.00</t>
  </si>
  <si>
    <t>-31 35 43.9</t>
  </si>
  <si>
    <t>HP 1</t>
  </si>
  <si>
    <t>BH 229</t>
  </si>
  <si>
    <t>17 31 05.2</t>
  </si>
  <si>
    <t>-29 58 54</t>
  </si>
  <si>
    <t>NGC 6362</t>
  </si>
  <si>
    <t>17 31 54.99</t>
  </si>
  <si>
    <t>-67 02 54.0</t>
  </si>
  <si>
    <t>Liller 1</t>
  </si>
  <si>
    <t>17 33 24.50</t>
  </si>
  <si>
    <t>-33 23 20.4</t>
  </si>
  <si>
    <t>NGC 6380</t>
  </si>
  <si>
    <t>Ton 1</t>
  </si>
  <si>
    <t>17 34 28.0</t>
  </si>
  <si>
    <t>-39 04 09</t>
  </si>
  <si>
    <t>Terzan 1</t>
  </si>
  <si>
    <t>HP 2</t>
  </si>
  <si>
    <t>17 35 47.8</t>
  </si>
  <si>
    <t>-30 28 11</t>
  </si>
  <si>
    <t>Ton 2</t>
  </si>
  <si>
    <t>Pismis 26</t>
  </si>
  <si>
    <t>17 36 10.5</t>
  </si>
  <si>
    <t>-38 33 12</t>
  </si>
  <si>
    <t>NGC 6388</t>
  </si>
  <si>
    <t>17 36 17.23</t>
  </si>
  <si>
    <t>-44 44 07.8</t>
  </si>
  <si>
    <t>NGC 6402</t>
  </si>
  <si>
    <t>M 14</t>
  </si>
  <si>
    <t>17 37 36.10</t>
  </si>
  <si>
    <t>-03 14 45.3</t>
  </si>
  <si>
    <t>NGC 6401</t>
  </si>
  <si>
    <t>17 38 36.60</t>
  </si>
  <si>
    <t>-23 54 34.2</t>
  </si>
  <si>
    <t>NGC 6397</t>
  </si>
  <si>
    <t>17 40 42.09</t>
  </si>
  <si>
    <t>-53 40 27.6</t>
  </si>
  <si>
    <t>Pal 6</t>
  </si>
  <si>
    <t>17 43 42.2</t>
  </si>
  <si>
    <t>-26 13 21</t>
  </si>
  <si>
    <t>NGC 6426</t>
  </si>
  <si>
    <t>17 44 54.65</t>
  </si>
  <si>
    <t>+03 10 12.5</t>
  </si>
  <si>
    <t>Djorg 1</t>
  </si>
  <si>
    <t>17 47 28.3</t>
  </si>
  <si>
    <t>-33 03 56</t>
  </si>
  <si>
    <t>Terzan 5</t>
  </si>
  <si>
    <t>Terzan 11</t>
  </si>
  <si>
    <t>17 48 04.80</t>
  </si>
  <si>
    <t>-24 46 45</t>
  </si>
  <si>
    <t>NGC 6440</t>
  </si>
  <si>
    <t>17 48 52.70</t>
  </si>
  <si>
    <t>-20 21 36.9</t>
  </si>
  <si>
    <t>NGC 6441</t>
  </si>
  <si>
    <t>17 50 13.06</t>
  </si>
  <si>
    <t>-37 03 05.2</t>
  </si>
  <si>
    <t>Terzan 6</t>
  </si>
  <si>
    <t>HP 5</t>
  </si>
  <si>
    <t>17 50 46.38</t>
  </si>
  <si>
    <t>-31 16 31.4</t>
  </si>
  <si>
    <t>NGC 6453</t>
  </si>
  <si>
    <t>17 50 51.70</t>
  </si>
  <si>
    <t>-34 35 57.0</t>
  </si>
  <si>
    <t>UKS 1</t>
  </si>
  <si>
    <t>17 54 27.2</t>
  </si>
  <si>
    <t>-24 08 43</t>
  </si>
  <si>
    <t>NGC 6496</t>
  </si>
  <si>
    <t>17 59 03.68</t>
  </si>
  <si>
    <t>-44 15 57.4</t>
  </si>
  <si>
    <t>Terzan 9</t>
  </si>
  <si>
    <t>18 01 38.8</t>
  </si>
  <si>
    <t>-26 50 23</t>
  </si>
  <si>
    <t>Djorg 2</t>
  </si>
  <si>
    <t>ESO456-SC38</t>
  </si>
  <si>
    <t>18 01 49.1</t>
  </si>
  <si>
    <t>-27 49 33</t>
  </si>
  <si>
    <t>NGC 6517</t>
  </si>
  <si>
    <t>18 01 50.52</t>
  </si>
  <si>
    <t>-08 57 31.6</t>
  </si>
  <si>
    <t>Terzan 10</t>
  </si>
  <si>
    <t>18 03 36.4</t>
  </si>
  <si>
    <t>-26 04 21</t>
  </si>
  <si>
    <t>NGC 6522</t>
  </si>
  <si>
    <t>18 03 34.02</t>
  </si>
  <si>
    <t>-30 02 02.3</t>
  </si>
  <si>
    <t>NGC 6535</t>
  </si>
  <si>
    <t>18 03 50.51</t>
  </si>
  <si>
    <t>-00 17 51.5</t>
  </si>
  <si>
    <t>NGC 6528</t>
  </si>
  <si>
    <t>18 04 49.64</t>
  </si>
  <si>
    <t>-30 03 22.6</t>
  </si>
  <si>
    <t>NGC 6539</t>
  </si>
  <si>
    <t>18 04 49.68</t>
  </si>
  <si>
    <t>-07 35 09.1</t>
  </si>
  <si>
    <t>NGC 6540</t>
  </si>
  <si>
    <t>Djorg 3</t>
  </si>
  <si>
    <t>18 06 08.6</t>
  </si>
  <si>
    <t>-27 45 55</t>
  </si>
  <si>
    <t>NGC 6544</t>
  </si>
  <si>
    <t>18 07 20.58</t>
  </si>
  <si>
    <t>-24 59 50.4</t>
  </si>
  <si>
    <t>NGC 6541</t>
  </si>
  <si>
    <t>18 08 02.36</t>
  </si>
  <si>
    <t>-43 42 53.6</t>
  </si>
  <si>
    <t>2MS-GC01</t>
  </si>
  <si>
    <t>2MASS-GC01</t>
  </si>
  <si>
    <t>18 08 21.81</t>
  </si>
  <si>
    <t>-19 49 47</t>
  </si>
  <si>
    <t>ESO-SC06</t>
  </si>
  <si>
    <t>ESO280-SC06</t>
  </si>
  <si>
    <t>18 09 06.0</t>
  </si>
  <si>
    <t>-46 25 23</t>
  </si>
  <si>
    <t>NGC 6553</t>
  </si>
  <si>
    <t>18 09 17.60</t>
  </si>
  <si>
    <t>-25 54 31.3</t>
  </si>
  <si>
    <t>2MS-GC02</t>
  </si>
  <si>
    <t>2MASS-GC02</t>
  </si>
  <si>
    <t>18 09 36.50</t>
  </si>
  <si>
    <t>-20 46 44</t>
  </si>
  <si>
    <t>NGC 6558</t>
  </si>
  <si>
    <t>18 10 17.60</t>
  </si>
  <si>
    <t>-31 45 50.0</t>
  </si>
  <si>
    <t>IC 1276</t>
  </si>
  <si>
    <t>Pal 7</t>
  </si>
  <si>
    <t>18 10 44.20</t>
  </si>
  <si>
    <t>-07 12 27.4</t>
  </si>
  <si>
    <t>Terzan 12</t>
  </si>
  <si>
    <t>18 12 15.8</t>
  </si>
  <si>
    <t>-22 44 31</t>
  </si>
  <si>
    <t>NGC 6569</t>
  </si>
  <si>
    <t>18 13 38.80</t>
  </si>
  <si>
    <t>-31 49 36.8</t>
  </si>
  <si>
    <t>BH 261</t>
  </si>
  <si>
    <t>AL 3</t>
  </si>
  <si>
    <t>18 14 06.6</t>
  </si>
  <si>
    <t>-28 38 06</t>
  </si>
  <si>
    <t>GLIMPSE02</t>
  </si>
  <si>
    <t>18 18 30.5</t>
  </si>
  <si>
    <t>-16 58 38</t>
  </si>
  <si>
    <t>NGC 6584</t>
  </si>
  <si>
    <t>18 18 37.60</t>
  </si>
  <si>
    <t>-52 12 56.8</t>
  </si>
  <si>
    <t>NGC 6624</t>
  </si>
  <si>
    <t>18 23 40.51</t>
  </si>
  <si>
    <t>-30 21 39.7</t>
  </si>
  <si>
    <t>NGC 6626</t>
  </si>
  <si>
    <t>M 28</t>
  </si>
  <si>
    <t>18 24 32.81</t>
  </si>
  <si>
    <t>-24 52 11.2</t>
  </si>
  <si>
    <t>NGC 6638</t>
  </si>
  <si>
    <t>18 30 56.10</t>
  </si>
  <si>
    <t>-25 29 50.9</t>
  </si>
  <si>
    <t>NGC 6637</t>
  </si>
  <si>
    <t>M 69</t>
  </si>
  <si>
    <t>18 31 23.10</t>
  </si>
  <si>
    <t>-32 20 53.1</t>
  </si>
  <si>
    <t>NGC 6642</t>
  </si>
  <si>
    <t>18 31 54.10</t>
  </si>
  <si>
    <t>-23 28 30.7</t>
  </si>
  <si>
    <t>NGC 6652</t>
  </si>
  <si>
    <t>18 35 45.63</t>
  </si>
  <si>
    <t>-32 59 26.6</t>
  </si>
  <si>
    <t>NGC 6656</t>
  </si>
  <si>
    <t>M 22</t>
  </si>
  <si>
    <t>18 36 23.94</t>
  </si>
  <si>
    <t>-23 54 17.1</t>
  </si>
  <si>
    <t>Pal 8</t>
  </si>
  <si>
    <t>18 41 29.9</t>
  </si>
  <si>
    <t>-19 49 33</t>
  </si>
  <si>
    <t>NGC 6681</t>
  </si>
  <si>
    <t>M 70</t>
  </si>
  <si>
    <t>18 43 12.76</t>
  </si>
  <si>
    <t>-32 17 31.6</t>
  </si>
  <si>
    <t>GLIMPSE01</t>
  </si>
  <si>
    <t>18 48 49.7</t>
  </si>
  <si>
    <t>-01 29 50</t>
  </si>
  <si>
    <t>NGC 6712</t>
  </si>
  <si>
    <t>18 53 04.30</t>
  </si>
  <si>
    <t>-08 42 22.0</t>
  </si>
  <si>
    <t>NGC 6715</t>
  </si>
  <si>
    <t>M 54</t>
  </si>
  <si>
    <t>18 55 03.33</t>
  </si>
  <si>
    <t>-30 28 47.5</t>
  </si>
  <si>
    <t>NGC 6717</t>
  </si>
  <si>
    <t>Pal 9</t>
  </si>
  <si>
    <t>18 55 06.04</t>
  </si>
  <si>
    <t>-22 42 05.3</t>
  </si>
  <si>
    <t>NGC 6723</t>
  </si>
  <si>
    <t>18 59 33.15</t>
  </si>
  <si>
    <t>-36 37 56.1</t>
  </si>
  <si>
    <t>NGC 6749</t>
  </si>
  <si>
    <t>19 05 15.3</t>
  </si>
  <si>
    <t>+01 54 03</t>
  </si>
  <si>
    <t>NGC 6752</t>
  </si>
  <si>
    <t>19 10 52.11</t>
  </si>
  <si>
    <t>-59 59 04.4</t>
  </si>
  <si>
    <t>NGC 6760</t>
  </si>
  <si>
    <t>19 11 12.01</t>
  </si>
  <si>
    <t>+01 01 49.7</t>
  </si>
  <si>
    <t>NGC 6779</t>
  </si>
  <si>
    <t>M 56</t>
  </si>
  <si>
    <t>19 16 35.57</t>
  </si>
  <si>
    <t>+30 11 00.5</t>
  </si>
  <si>
    <t>Terzan 7</t>
  </si>
  <si>
    <t>19 17 43.92</t>
  </si>
  <si>
    <t>-34 39 27.8</t>
  </si>
  <si>
    <t>Pal 10</t>
  </si>
  <si>
    <t>19 18 02.1</t>
  </si>
  <si>
    <t>+18 34 18</t>
  </si>
  <si>
    <t>Arp 2</t>
  </si>
  <si>
    <t>19 28 44.11</t>
  </si>
  <si>
    <t>-30 21 20.3</t>
  </si>
  <si>
    <t>NGC 6809</t>
  </si>
  <si>
    <t>M 55</t>
  </si>
  <si>
    <t>19 39 59.71</t>
  </si>
  <si>
    <t>-30 57 53.1</t>
  </si>
  <si>
    <t>Terzan 8</t>
  </si>
  <si>
    <t>19 41 44.41</t>
  </si>
  <si>
    <t>-33 59 58.1</t>
  </si>
  <si>
    <t>Pal 11</t>
  </si>
  <si>
    <t>19 45 14.4</t>
  </si>
  <si>
    <t>-08 00 26</t>
  </si>
  <si>
    <t>NGC 6838</t>
  </si>
  <si>
    <t>M 71</t>
  </si>
  <si>
    <t>19 53 46.49</t>
  </si>
  <si>
    <t>+18 46 45.1</t>
  </si>
  <si>
    <t>NGC 6864</t>
  </si>
  <si>
    <t>M 75</t>
  </si>
  <si>
    <t>20 06 04.69</t>
  </si>
  <si>
    <t>-21 55 16.2</t>
  </si>
  <si>
    <t>NGC 6934</t>
  </si>
  <si>
    <t>20 34 11.37</t>
  </si>
  <si>
    <t>+07 24 16.1</t>
  </si>
  <si>
    <t>NGC 6981</t>
  </si>
  <si>
    <t>M 72</t>
  </si>
  <si>
    <t>20 53 27.70</t>
  </si>
  <si>
    <t>-12 32 14.3</t>
  </si>
  <si>
    <t>NGC 7006</t>
  </si>
  <si>
    <t>21 01 29.38</t>
  </si>
  <si>
    <t>+16 11 14.4</t>
  </si>
  <si>
    <t>NGC 7078</t>
  </si>
  <si>
    <t>M 15</t>
  </si>
  <si>
    <t>21 29 58.33</t>
  </si>
  <si>
    <t>+12 10 01.2</t>
  </si>
  <si>
    <t>NGC 7089</t>
  </si>
  <si>
    <t>M 2</t>
  </si>
  <si>
    <t>21 33 27.02</t>
  </si>
  <si>
    <t>-00 49 23.7</t>
  </si>
  <si>
    <t>NGC 7099</t>
  </si>
  <si>
    <t>M 30</t>
  </si>
  <si>
    <t>21 40 22.12</t>
  </si>
  <si>
    <t>-23 10 47.5</t>
  </si>
  <si>
    <t>Pal 12</t>
  </si>
  <si>
    <t>21 46 38.84</t>
  </si>
  <si>
    <t>-21 15 09.4</t>
  </si>
  <si>
    <t>Pal 13</t>
  </si>
  <si>
    <t>23 06 44.44</t>
  </si>
  <si>
    <t>+12 46 19.2</t>
  </si>
  <si>
    <t>NGC 7492</t>
  </si>
  <si>
    <t>23 08 26.63</t>
  </si>
  <si>
    <t>-15 36 41.4</t>
  </si>
  <si>
    <t>N_CSS Observed (8Re)</t>
  </si>
  <si>
    <t>gal_name</t>
  </si>
  <si>
    <t>gcs_in_sample</t>
  </si>
  <si>
    <t>gcs_uncertainty</t>
  </si>
  <si>
    <t>sample_type</t>
  </si>
  <si>
    <t>Full</t>
  </si>
  <si>
    <t>Fraction (obs/estimated)</t>
  </si>
  <si>
    <t>Sn (obs)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</si>
</sst>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mbria Math"/>
      <family val="1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top" wrapText="1"/>
    </xf>
    <xf numFmtId="2" fontId="0" fillId="0" borderId="0" xfId="0" applyNumberFormat="1" applyAlignment="1">
      <alignment horizontal="center"/>
    </xf>
    <xf numFmtId="0" fontId="1" fillId="0" borderId="0" xfId="0" applyFont="1"/>
    <xf numFmtId="11" fontId="0" fillId="0" borderId="0" xfId="0" applyNumberFormat="1"/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3A62-F40A-1A46-8CFE-D551D10E6964}">
  <dimension ref="A1:P29"/>
  <sheetViews>
    <sheetView tabSelected="1" zoomScale="160" zoomScaleNormal="160" workbookViewId="0">
      <selection activeCell="M18" sqref="M18"/>
    </sheetView>
  </sheetViews>
  <sheetFormatPr baseColWidth="10" defaultRowHeight="16" x14ac:dyDescent="0.2"/>
  <cols>
    <col min="1" max="1" width="10.33203125" customWidth="1"/>
    <col min="2" max="2" width="8" style="5" customWidth="1"/>
    <col min="3" max="3" width="10.33203125" style="1" customWidth="1"/>
    <col min="4" max="4" width="12.83203125" style="1" customWidth="1"/>
    <col min="5" max="5" width="11" style="5" customWidth="1"/>
    <col min="6" max="8" width="10.83203125" style="1"/>
    <col min="9" max="9" width="12.83203125" bestFit="1" customWidth="1"/>
    <col min="10" max="10" width="14" bestFit="1" customWidth="1"/>
    <col min="11" max="12" width="14" customWidth="1"/>
    <col min="13" max="13" width="10.5" customWidth="1"/>
  </cols>
  <sheetData>
    <row r="1" spans="1:16" s="2" customFormat="1" ht="51" x14ac:dyDescent="0.2">
      <c r="A1" s="2" t="s">
        <v>28</v>
      </c>
      <c r="B1" s="4" t="s">
        <v>29</v>
      </c>
      <c r="C1" s="3" t="s">
        <v>30</v>
      </c>
      <c r="D1" s="3" t="s">
        <v>31</v>
      </c>
      <c r="E1" s="4" t="s">
        <v>32</v>
      </c>
      <c r="F1" s="3" t="s">
        <v>33</v>
      </c>
      <c r="G1" s="3" t="s">
        <v>41</v>
      </c>
      <c r="H1" s="3" t="s">
        <v>575</v>
      </c>
      <c r="I1" t="s">
        <v>578</v>
      </c>
      <c r="J1" s="3" t="s">
        <v>581</v>
      </c>
      <c r="K1" s="2" t="s">
        <v>582</v>
      </c>
    </row>
    <row r="2" spans="1:16" x14ac:dyDescent="0.2">
      <c r="A2" t="s">
        <v>0</v>
      </c>
      <c r="B2" s="5">
        <v>14.37</v>
      </c>
      <c r="C2" s="1">
        <v>4710</v>
      </c>
      <c r="D2" s="1">
        <v>2.1999999999999999E-2</v>
      </c>
      <c r="E2" s="5">
        <f>B2-35</f>
        <v>-20.630000000000003</v>
      </c>
      <c r="F2">
        <f>a_0*E2^3+b_1*E2^2+c_2*E2+d_3</f>
        <v>1.4669180319431234</v>
      </c>
      <c r="G2" s="1">
        <f>F2/(10^(0.4*(E2+15)))</f>
        <v>262.06308373928215</v>
      </c>
      <c r="H2">
        <v>37</v>
      </c>
      <c r="I2">
        <v>6.0827629999999999</v>
      </c>
      <c r="J2">
        <f>H2/G2</f>
        <v>0.14118737928311212</v>
      </c>
      <c r="K2">
        <f>H2*10^(0.4*(E2+15))</f>
        <v>0.20711031255319012</v>
      </c>
      <c r="M2" t="s">
        <v>38</v>
      </c>
      <c r="N2" t="s">
        <v>37</v>
      </c>
      <c r="O2" t="s">
        <v>36</v>
      </c>
      <c r="P2" t="s">
        <v>35</v>
      </c>
    </row>
    <row r="3" spans="1:16" x14ac:dyDescent="0.2">
      <c r="A3" t="s">
        <v>1</v>
      </c>
      <c r="B3" s="5">
        <v>14.7</v>
      </c>
      <c r="C3" s="1">
        <v>6789</v>
      </c>
      <c r="D3" s="1">
        <v>1.6E-2</v>
      </c>
      <c r="E3" s="5">
        <f t="shared" ref="E3:E29" si="0">B3-35</f>
        <v>-20.3</v>
      </c>
      <c r="F3">
        <f>a_0*E3^3+b_1*E3^2+c_2*E3+d_3</f>
        <v>1.3570155124409666</v>
      </c>
      <c r="G3" s="1">
        <f t="shared" ref="G3:G29" si="1">F3/(10^(0.4*(E3+15)))</f>
        <v>178.88948436008835</v>
      </c>
      <c r="H3">
        <v>42</v>
      </c>
      <c r="I3">
        <v>6.4807410000000001</v>
      </c>
      <c r="J3">
        <f t="shared" ref="J3:J29" si="2">H3/G3</f>
        <v>0.23478182717245583</v>
      </c>
      <c r="K3">
        <f t="shared" ref="K3:K29" si="3">H3*10^(0.4*(E3+15))</f>
        <v>0.31860258151225662</v>
      </c>
      <c r="M3" s="7">
        <v>-256.14526799999999</v>
      </c>
      <c r="N3" s="7">
        <v>-44.9367564</v>
      </c>
      <c r="O3" s="7">
        <v>-2.56296167</v>
      </c>
      <c r="P3" s="7">
        <v>-4.7990019299999999E-2</v>
      </c>
    </row>
    <row r="4" spans="1:16" x14ac:dyDescent="0.2">
      <c r="A4" t="s">
        <v>2</v>
      </c>
      <c r="B4" s="5">
        <v>14.57</v>
      </c>
      <c r="C4" s="1">
        <v>9419</v>
      </c>
      <c r="D4" s="1">
        <v>4.9000000000000002E-2</v>
      </c>
      <c r="E4" s="5">
        <f t="shared" si="0"/>
        <v>-20.43</v>
      </c>
      <c r="F4">
        <f>a_0*E4^3+b_1*E4^2+c_2*E4+d_3</f>
        <v>1.390386090595598</v>
      </c>
      <c r="G4" s="1">
        <f t="shared" si="1"/>
        <v>206.60242485560931</v>
      </c>
      <c r="H4">
        <v>621</v>
      </c>
      <c r="I4">
        <v>24.919872000000002</v>
      </c>
      <c r="J4">
        <f t="shared" si="2"/>
        <v>3.0057730466329504</v>
      </c>
      <c r="K4">
        <f t="shared" si="3"/>
        <v>4.1791850355256086</v>
      </c>
    </row>
    <row r="5" spans="1:16" x14ac:dyDescent="0.2">
      <c r="A5" t="s">
        <v>3</v>
      </c>
      <c r="B5" s="5">
        <v>15.12</v>
      </c>
      <c r="C5" s="1">
        <v>7269</v>
      </c>
      <c r="D5" s="1">
        <v>4.8000000000000001E-2</v>
      </c>
      <c r="E5" s="5">
        <f t="shared" si="0"/>
        <v>-19.880000000000003</v>
      </c>
      <c r="F5">
        <f>a_0*E5^3+b_1*E5^2+c_2*E5+d_3</f>
        <v>1.3290626706738067</v>
      </c>
      <c r="G5" s="1">
        <f t="shared" si="1"/>
        <v>118.99958865285737</v>
      </c>
      <c r="H5">
        <v>332</v>
      </c>
      <c r="I5">
        <v>18.220866999999998</v>
      </c>
      <c r="J5">
        <f t="shared" si="2"/>
        <v>2.7899256103187224</v>
      </c>
      <c r="K5">
        <f t="shared" si="3"/>
        <v>3.7079859826314512</v>
      </c>
    </row>
    <row r="6" spans="1:16" x14ac:dyDescent="0.2">
      <c r="A6" t="s">
        <v>4</v>
      </c>
      <c r="B6" s="5">
        <v>14.94</v>
      </c>
      <c r="C6" s="1">
        <v>7237</v>
      </c>
      <c r="D6" s="1">
        <v>0.01</v>
      </c>
      <c r="E6" s="5">
        <f t="shared" si="0"/>
        <v>-20.060000000000002</v>
      </c>
      <c r="F6">
        <f>a_0*E6^3+b_1*E6^2+c_2*E6+d_3</f>
        <v>1.3268747136008869</v>
      </c>
      <c r="G6" s="1">
        <f t="shared" si="1"/>
        <v>140.22644298662789</v>
      </c>
      <c r="H6">
        <v>12</v>
      </c>
      <c r="I6">
        <v>3.464102</v>
      </c>
      <c r="J6">
        <f t="shared" si="2"/>
        <v>8.5575871029862249E-2</v>
      </c>
      <c r="K6">
        <f t="shared" si="3"/>
        <v>0.11354845936389492</v>
      </c>
      <c r="M6" s="6" t="s">
        <v>34</v>
      </c>
    </row>
    <row r="7" spans="1:16" x14ac:dyDescent="0.2">
      <c r="A7" t="s">
        <v>5</v>
      </c>
      <c r="B7" s="5">
        <v>14.85</v>
      </c>
      <c r="C7" s="1">
        <v>5732</v>
      </c>
      <c r="D7" s="1">
        <v>5.0000000000000001E-3</v>
      </c>
      <c r="E7" s="5">
        <f t="shared" si="0"/>
        <v>-20.149999999999999</v>
      </c>
      <c r="F7">
        <f>a_0*E7^3+b_1*E7^2+c_2*E7+d_3</f>
        <v>1.3335751687951642</v>
      </c>
      <c r="G7" s="1">
        <f t="shared" si="1"/>
        <v>153.11491595904843</v>
      </c>
      <c r="H7">
        <v>54</v>
      </c>
      <c r="I7">
        <v>7.3484689999999997</v>
      </c>
      <c r="J7">
        <f t="shared" si="2"/>
        <v>0.35267628670770812</v>
      </c>
      <c r="K7">
        <f t="shared" si="3"/>
        <v>0.47032033857628364</v>
      </c>
    </row>
    <row r="8" spans="1:16" x14ac:dyDescent="0.2">
      <c r="A8" t="s">
        <v>6</v>
      </c>
      <c r="B8" s="5">
        <v>14.59</v>
      </c>
      <c r="C8" s="1">
        <v>8176</v>
      </c>
      <c r="D8" s="1">
        <v>1.9E-2</v>
      </c>
      <c r="E8" s="5">
        <f t="shared" si="0"/>
        <v>-20.41</v>
      </c>
      <c r="F8">
        <f>a_0*E8^3+b_1*E8^2+c_2*E8+d_3</f>
        <v>1.3844356296528986</v>
      </c>
      <c r="G8" s="1">
        <f t="shared" si="1"/>
        <v>201.9634438970931</v>
      </c>
      <c r="H8">
        <v>104</v>
      </c>
      <c r="I8">
        <v>10.198039</v>
      </c>
      <c r="J8">
        <f t="shared" si="2"/>
        <v>0.51494467510165531</v>
      </c>
      <c r="K8">
        <f t="shared" si="3"/>
        <v>0.71290775551076746</v>
      </c>
      <c r="M8" t="s">
        <v>39</v>
      </c>
      <c r="N8" t="s">
        <v>40</v>
      </c>
    </row>
    <row r="9" spans="1:16" x14ac:dyDescent="0.2">
      <c r="A9" t="s">
        <v>7</v>
      </c>
      <c r="B9" s="5">
        <v>15.4</v>
      </c>
      <c r="C9" s="1">
        <v>7004</v>
      </c>
      <c r="D9" s="1">
        <v>8.0000000000000002E-3</v>
      </c>
      <c r="E9" s="5">
        <f t="shared" si="0"/>
        <v>-19.600000000000001</v>
      </c>
      <c r="F9">
        <f>a_0*E9^3+b_1*E9^2+c_2*E9+d_3</f>
        <v>1.3703802528447113</v>
      </c>
      <c r="G9" s="1">
        <f t="shared" si="1"/>
        <v>94.807150085369614</v>
      </c>
      <c r="H9">
        <v>26</v>
      </c>
      <c r="I9">
        <v>5.0990200000000003</v>
      </c>
      <c r="J9">
        <f t="shared" si="2"/>
        <v>0.27424091934614803</v>
      </c>
      <c r="K9">
        <f t="shared" si="3"/>
        <v>0.3758143403939404</v>
      </c>
      <c r="M9">
        <v>-17</v>
      </c>
      <c r="N9">
        <f>a_0*M9^3+b_1*M9^2+c_2*M9+d_3</f>
        <v>2.8586329908999915</v>
      </c>
    </row>
    <row r="10" spans="1:16" x14ac:dyDescent="0.2">
      <c r="A10" t="s">
        <v>8</v>
      </c>
      <c r="B10" s="5">
        <v>15.21</v>
      </c>
      <c r="C10" s="1">
        <v>7715</v>
      </c>
      <c r="D10" s="1">
        <v>1.2E-2</v>
      </c>
      <c r="E10" s="5">
        <f t="shared" si="0"/>
        <v>-19.79</v>
      </c>
      <c r="F10">
        <f>a_0*E10^3+b_1*E10^2+c_2*E10+d_3</f>
        <v>1.3375312662520855</v>
      </c>
      <c r="G10" s="1">
        <f t="shared" si="1"/>
        <v>110.23104965399482</v>
      </c>
      <c r="H10">
        <v>83</v>
      </c>
      <c r="I10">
        <v>9.1104339999999997</v>
      </c>
      <c r="J10">
        <f t="shared" si="2"/>
        <v>0.75296389048756596</v>
      </c>
      <c r="K10">
        <f t="shared" si="3"/>
        <v>1.0071127458859308</v>
      </c>
      <c r="M10">
        <v>-18</v>
      </c>
      <c r="N10">
        <f>a_0*M10^3+b_1*M10^2+c_2*M10+d_3</f>
        <v>2.194558677600071</v>
      </c>
    </row>
    <row r="11" spans="1:16" x14ac:dyDescent="0.2">
      <c r="A11" t="s">
        <v>9</v>
      </c>
      <c r="B11" s="5">
        <v>14.84</v>
      </c>
      <c r="C11" s="1">
        <v>7840</v>
      </c>
      <c r="D11" s="1">
        <v>1.7999999999999999E-2</v>
      </c>
      <c r="E11" s="5">
        <f t="shared" si="0"/>
        <v>-20.16</v>
      </c>
      <c r="F11">
        <f>a_0*E11^3+b_1*E11^2+c_2*E11+d_3</f>
        <v>1.3346538596117625</v>
      </c>
      <c r="G11" s="1">
        <f t="shared" si="1"/>
        <v>154.65666708231541</v>
      </c>
      <c r="H11">
        <v>0</v>
      </c>
      <c r="I11">
        <v>0</v>
      </c>
      <c r="J11">
        <f t="shared" si="2"/>
        <v>0</v>
      </c>
      <c r="K11">
        <f t="shared" si="3"/>
        <v>0</v>
      </c>
      <c r="M11">
        <v>-19</v>
      </c>
      <c r="N11">
        <f>a_0*M11^3+b_1*M11^2+c_2*M11+d_3</f>
        <v>1.5874831086999848</v>
      </c>
    </row>
    <row r="12" spans="1:16" x14ac:dyDescent="0.2">
      <c r="A12" t="s">
        <v>10</v>
      </c>
      <c r="B12" s="5">
        <v>14.35</v>
      </c>
      <c r="C12" s="1">
        <v>7087</v>
      </c>
      <c r="D12" s="1">
        <v>2.3E-2</v>
      </c>
      <c r="E12" s="5">
        <f t="shared" si="0"/>
        <v>-20.65</v>
      </c>
      <c r="F12">
        <f>a_0*E12^3+b_1*E12^2+c_2*E12+d_3</f>
        <v>1.4763246367302827</v>
      </c>
      <c r="G12" s="1">
        <f t="shared" si="1"/>
        <v>268.64692090451638</v>
      </c>
      <c r="H12">
        <v>121</v>
      </c>
      <c r="I12">
        <v>11</v>
      </c>
      <c r="J12">
        <f t="shared" si="2"/>
        <v>0.45040531115190535</v>
      </c>
      <c r="K12">
        <f t="shared" si="3"/>
        <v>0.66494445736772656</v>
      </c>
      <c r="M12">
        <v>-20</v>
      </c>
      <c r="N12">
        <f>a_0*M12^3+b_1*M12^2+c_2*M12+d_3</f>
        <v>1.3253464000001713</v>
      </c>
    </row>
    <row r="13" spans="1:16" x14ac:dyDescent="0.2">
      <c r="A13" t="s">
        <v>11</v>
      </c>
      <c r="B13" s="5">
        <v>13.94</v>
      </c>
      <c r="C13" s="1">
        <v>6968</v>
      </c>
      <c r="D13" s="1">
        <v>3.1E-2</v>
      </c>
      <c r="E13" s="5">
        <f t="shared" si="0"/>
        <v>-21.060000000000002</v>
      </c>
      <c r="F13">
        <f>a_0*E13^3+b_1*E13^2+c_2*E13+d_3</f>
        <v>1.7447462151434365</v>
      </c>
      <c r="G13" s="1">
        <f t="shared" si="1"/>
        <v>463.16130069555544</v>
      </c>
      <c r="H13">
        <v>119</v>
      </c>
      <c r="I13">
        <v>10.908712</v>
      </c>
      <c r="J13">
        <f t="shared" si="2"/>
        <v>0.256929928777061</v>
      </c>
      <c r="K13">
        <f t="shared" si="3"/>
        <v>0.44827752079084993</v>
      </c>
      <c r="M13">
        <v>-21</v>
      </c>
      <c r="N13">
        <f>a_0*M13^3+b_1*M13^2+c_2*M13+d_3</f>
        <v>1.6960886672998186</v>
      </c>
    </row>
    <row r="14" spans="1:16" x14ac:dyDescent="0.2">
      <c r="A14" t="s">
        <v>12</v>
      </c>
      <c r="B14" s="5">
        <v>13.63</v>
      </c>
      <c r="C14" s="1">
        <v>8793</v>
      </c>
      <c r="D14" s="1">
        <v>0.29399999999999998</v>
      </c>
      <c r="E14" s="5">
        <f t="shared" si="0"/>
        <v>-21.369999999999997</v>
      </c>
      <c r="F14">
        <f>a_0*E14^3+b_1*E14^2+c_2*E14+d_3</f>
        <v>2.0513194363244338</v>
      </c>
      <c r="G14" s="1">
        <f t="shared" si="1"/>
        <v>724.49150077691274</v>
      </c>
      <c r="H14">
        <v>1273</v>
      </c>
      <c r="I14">
        <v>35.679125999999997</v>
      </c>
      <c r="J14">
        <f t="shared" si="2"/>
        <v>1.7570944567809159</v>
      </c>
      <c r="K14">
        <f t="shared" si="3"/>
        <v>3.6043620106526157</v>
      </c>
      <c r="M14">
        <v>-22</v>
      </c>
      <c r="N14">
        <f>a_0*M14^3+b_1*M14^2+c_2*M14+d_3</f>
        <v>2.987650026400047</v>
      </c>
    </row>
    <row r="15" spans="1:16" x14ac:dyDescent="0.2">
      <c r="A15" t="s">
        <v>13</v>
      </c>
      <c r="B15" s="5">
        <v>14.46</v>
      </c>
      <c r="C15" s="1">
        <v>4822</v>
      </c>
      <c r="D15" s="1">
        <v>3.4000000000000002E-2</v>
      </c>
      <c r="E15" s="5">
        <f t="shared" si="0"/>
        <v>-20.54</v>
      </c>
      <c r="F15">
        <f>a_0*E15^3+b_1*E15^2+c_2*E15+d_3</f>
        <v>1.4285857454997313</v>
      </c>
      <c r="G15" s="1">
        <f t="shared" si="1"/>
        <v>234.9126004087681</v>
      </c>
      <c r="H15">
        <v>79</v>
      </c>
      <c r="I15">
        <v>8.8881940000000004</v>
      </c>
      <c r="J15">
        <f t="shared" si="2"/>
        <v>0.33629528540628817</v>
      </c>
      <c r="K15">
        <f t="shared" si="3"/>
        <v>0.48042665101018711</v>
      </c>
      <c r="M15">
        <v>-23</v>
      </c>
      <c r="N15">
        <f>a_0*M15^3+b_1*M15^2+c_2*M15+d_3</f>
        <v>5.4879705931001581</v>
      </c>
    </row>
    <row r="16" spans="1:16" x14ac:dyDescent="0.2">
      <c r="A16" t="s">
        <v>14</v>
      </c>
      <c r="B16" s="5">
        <v>13.76</v>
      </c>
      <c r="C16" s="1">
        <v>6859</v>
      </c>
      <c r="D16" s="1">
        <v>4.9000000000000002E-2</v>
      </c>
      <c r="E16" s="5">
        <f t="shared" si="0"/>
        <v>-21.240000000000002</v>
      </c>
      <c r="F16">
        <f>a_0*E16^3+b_1*E16^2+c_2*E16+d_3</f>
        <v>1.9112305017066546</v>
      </c>
      <c r="G16" s="1">
        <f t="shared" si="1"/>
        <v>598.84312468739915</v>
      </c>
      <c r="H16">
        <v>274</v>
      </c>
      <c r="I16">
        <v>16.552945000000001</v>
      </c>
      <c r="J16">
        <f t="shared" si="2"/>
        <v>0.45754887833609204</v>
      </c>
      <c r="K16">
        <f t="shared" si="3"/>
        <v>0.87448137229760636</v>
      </c>
    </row>
    <row r="17" spans="1:11" x14ac:dyDescent="0.2">
      <c r="A17" t="s">
        <v>15</v>
      </c>
      <c r="B17" s="5">
        <v>14.14</v>
      </c>
      <c r="C17" s="1">
        <v>6795</v>
      </c>
      <c r="D17" s="1">
        <v>0.08</v>
      </c>
      <c r="E17" s="5">
        <f t="shared" si="0"/>
        <v>-20.86</v>
      </c>
      <c r="F17">
        <f>a_0*E17^3+b_1*E17^2+c_2*E17+d_3</f>
        <v>1.5953383586407881</v>
      </c>
      <c r="G17" s="1">
        <f t="shared" si="1"/>
        <v>352.25146466454629</v>
      </c>
      <c r="H17">
        <v>1022</v>
      </c>
      <c r="I17">
        <v>31.968734999999999</v>
      </c>
      <c r="J17">
        <f t="shared" si="2"/>
        <v>2.9013364102637986</v>
      </c>
      <c r="K17">
        <f t="shared" si="3"/>
        <v>4.6286132666150044</v>
      </c>
    </row>
    <row r="18" spans="1:11" x14ac:dyDescent="0.2">
      <c r="A18" t="s">
        <v>16</v>
      </c>
      <c r="B18" s="5">
        <v>14.41</v>
      </c>
      <c r="C18" s="1">
        <v>7180</v>
      </c>
      <c r="D18" s="1">
        <v>0.10100000000000001</v>
      </c>
      <c r="E18" s="5">
        <f t="shared" si="0"/>
        <v>-20.59</v>
      </c>
      <c r="F18">
        <f>a_0*E18^3+b_1*E18^2+c_2*E18+d_3</f>
        <v>1.4490796563464983</v>
      </c>
      <c r="G18" s="1">
        <f t="shared" si="1"/>
        <v>249.51247229145596</v>
      </c>
      <c r="H18">
        <v>171</v>
      </c>
      <c r="I18">
        <v>13.076696999999999</v>
      </c>
      <c r="J18">
        <f t="shared" si="2"/>
        <v>0.68533648209879705</v>
      </c>
      <c r="K18">
        <f t="shared" si="3"/>
        <v>0.99310715396144289</v>
      </c>
    </row>
    <row r="19" spans="1:11" x14ac:dyDescent="0.2">
      <c r="A19" t="s">
        <v>17</v>
      </c>
      <c r="B19" s="5">
        <v>14.11</v>
      </c>
      <c r="C19" s="1">
        <v>5824</v>
      </c>
      <c r="D19" s="1">
        <v>0.13700000000000001</v>
      </c>
      <c r="E19" s="5">
        <f t="shared" si="0"/>
        <v>-20.89</v>
      </c>
      <c r="F19">
        <f>a_0*E19^3+b_1*E19^2+c_2*E19+d_3</f>
        <v>1.6154479507607675</v>
      </c>
      <c r="G19" s="1">
        <f t="shared" si="1"/>
        <v>366.68485234796179</v>
      </c>
      <c r="H19">
        <v>1453</v>
      </c>
      <c r="I19">
        <v>38.118237000000001</v>
      </c>
      <c r="J19">
        <f t="shared" si="2"/>
        <v>3.9625307418512907</v>
      </c>
      <c r="K19">
        <f t="shared" si="3"/>
        <v>6.4012621667502119</v>
      </c>
    </row>
    <row r="20" spans="1:11" x14ac:dyDescent="0.2">
      <c r="A20" t="s">
        <v>18</v>
      </c>
      <c r="B20" s="5">
        <v>11.68</v>
      </c>
      <c r="C20" s="1">
        <v>7168</v>
      </c>
      <c r="D20" s="1">
        <v>0.23899999999999999</v>
      </c>
      <c r="E20" s="5">
        <f t="shared" si="0"/>
        <v>-23.32</v>
      </c>
      <c r="F20">
        <f>a_0*E20^3+b_1*E20^2+c_2*E20+d_3</f>
        <v>6.5903918023224151</v>
      </c>
      <c r="G20" s="1">
        <f t="shared" si="1"/>
        <v>14025.27012284673</v>
      </c>
      <c r="H20">
        <v>5655</v>
      </c>
      <c r="I20">
        <v>75.199734000000007</v>
      </c>
      <c r="J20">
        <f t="shared" si="2"/>
        <v>0.40320079046379154</v>
      </c>
      <c r="K20">
        <f t="shared" si="3"/>
        <v>2.6572511841624897</v>
      </c>
    </row>
    <row r="21" spans="1:11" x14ac:dyDescent="0.2">
      <c r="A21" t="s">
        <v>19</v>
      </c>
      <c r="B21" s="5">
        <v>14.65</v>
      </c>
      <c r="C21" s="1">
        <v>8008</v>
      </c>
      <c r="D21" s="1">
        <v>4.8000000000000001E-2</v>
      </c>
      <c r="E21" s="5">
        <f t="shared" si="0"/>
        <v>-20.350000000000001</v>
      </c>
      <c r="F21">
        <f>a_0*E21^3+b_1*E21^2+c_2*E21+d_3</f>
        <v>1.3683772753574885</v>
      </c>
      <c r="G21" s="1">
        <f t="shared" si="1"/>
        <v>188.88864589436494</v>
      </c>
      <c r="H21">
        <v>68</v>
      </c>
      <c r="I21">
        <v>8.2462110000000006</v>
      </c>
      <c r="J21">
        <f t="shared" si="2"/>
        <v>0.36000046311957085</v>
      </c>
      <c r="K21">
        <f t="shared" si="3"/>
        <v>0.49261645285099237</v>
      </c>
    </row>
    <row r="22" spans="1:11" x14ac:dyDescent="0.2">
      <c r="A22" t="s">
        <v>20</v>
      </c>
      <c r="B22" s="5">
        <v>14.39</v>
      </c>
      <c r="C22" s="1">
        <v>6701</v>
      </c>
      <c r="D22" s="1">
        <v>1.0999999999999999E-2</v>
      </c>
      <c r="E22" s="5">
        <f t="shared" si="0"/>
        <v>-20.61</v>
      </c>
      <c r="F22">
        <f>a_0*E22^3+b_1*E22^2+c_2*E22+d_3</f>
        <v>1.4578371396555667</v>
      </c>
      <c r="G22" s="1">
        <f t="shared" si="1"/>
        <v>255.68721341026634</v>
      </c>
      <c r="H22">
        <v>75</v>
      </c>
      <c r="I22">
        <v>8.6602540000000001</v>
      </c>
      <c r="J22">
        <f t="shared" si="2"/>
        <v>0.29332714373814911</v>
      </c>
      <c r="K22">
        <f t="shared" si="3"/>
        <v>0.42762320421056055</v>
      </c>
    </row>
    <row r="23" spans="1:11" x14ac:dyDescent="0.2">
      <c r="A23" t="s">
        <v>21</v>
      </c>
      <c r="B23" s="5">
        <v>13.86</v>
      </c>
      <c r="C23" s="1">
        <v>6371</v>
      </c>
      <c r="D23" s="1">
        <v>0.28299999999999997</v>
      </c>
      <c r="E23" s="5">
        <f t="shared" si="0"/>
        <v>-21.14</v>
      </c>
      <c r="F23">
        <f>a_0*E23^3+b_1*E23^2+c_2*E23+d_3</f>
        <v>1.8148870301587294</v>
      </c>
      <c r="G23" s="1">
        <f t="shared" si="1"/>
        <v>518.62040146754339</v>
      </c>
      <c r="H23">
        <v>785</v>
      </c>
      <c r="I23">
        <v>28.017851</v>
      </c>
      <c r="J23">
        <f t="shared" si="2"/>
        <v>1.5136311602449124</v>
      </c>
      <c r="K23">
        <f t="shared" si="3"/>
        <v>2.747069561172601</v>
      </c>
    </row>
    <row r="24" spans="1:11" x14ac:dyDescent="0.2">
      <c r="A24" t="s">
        <v>22</v>
      </c>
      <c r="B24" s="5">
        <v>14.35</v>
      </c>
      <c r="C24" s="1">
        <v>8151</v>
      </c>
      <c r="D24" s="1">
        <v>1.7000000000000001E-2</v>
      </c>
      <c r="E24" s="5">
        <f t="shared" si="0"/>
        <v>-20.65</v>
      </c>
      <c r="F24">
        <f>a_0*E24^3+b_1*E24^2+c_2*E24+d_3</f>
        <v>1.4763246367302827</v>
      </c>
      <c r="G24" s="1">
        <f t="shared" si="1"/>
        <v>268.64692090451638</v>
      </c>
      <c r="H24">
        <v>46</v>
      </c>
      <c r="I24">
        <v>6.78233</v>
      </c>
      <c r="J24">
        <f t="shared" si="2"/>
        <v>0.17122846539659212</v>
      </c>
      <c r="K24">
        <f t="shared" si="3"/>
        <v>0.25278880197450759</v>
      </c>
    </row>
    <row r="25" spans="1:11" x14ac:dyDescent="0.2">
      <c r="A25" t="s">
        <v>23</v>
      </c>
      <c r="B25" s="5">
        <v>11.49</v>
      </c>
      <c r="C25" s="1">
        <v>6446</v>
      </c>
      <c r="D25" s="1">
        <v>0.47699999999999998</v>
      </c>
      <c r="E25" s="5">
        <f t="shared" si="0"/>
        <v>-23.509999999999998</v>
      </c>
      <c r="F25">
        <f>a_0*E25^3+b_1*E25^2+c_2*E25+d_3</f>
        <v>7.3213291707992312</v>
      </c>
      <c r="G25" s="1">
        <f t="shared" si="1"/>
        <v>18560.51119419263</v>
      </c>
      <c r="H25">
        <v>5199</v>
      </c>
      <c r="I25">
        <v>72.104090999999997</v>
      </c>
      <c r="J25">
        <f t="shared" si="2"/>
        <v>0.28011081944912741</v>
      </c>
      <c r="K25">
        <f t="shared" si="3"/>
        <v>2.0507835134893733</v>
      </c>
    </row>
    <row r="26" spans="1:11" x14ac:dyDescent="0.2">
      <c r="A26" t="s">
        <v>24</v>
      </c>
      <c r="B26" s="5">
        <v>15.19</v>
      </c>
      <c r="C26" s="1">
        <v>4638</v>
      </c>
      <c r="D26" s="1">
        <v>2.4E-2</v>
      </c>
      <c r="E26" s="5">
        <f t="shared" si="0"/>
        <v>-19.810000000000002</v>
      </c>
      <c r="F26">
        <f>a_0*E26^3+b_1*E26^2+c_2*E26+d_3</f>
        <v>1.3352412775744824</v>
      </c>
      <c r="G26" s="1">
        <f t="shared" si="1"/>
        <v>112.08816248728215</v>
      </c>
      <c r="H26">
        <v>127</v>
      </c>
      <c r="I26">
        <v>11.269428</v>
      </c>
      <c r="J26">
        <f t="shared" si="2"/>
        <v>1.1330366845331219</v>
      </c>
      <c r="K26">
        <f t="shared" si="3"/>
        <v>1.5128773501947612</v>
      </c>
    </row>
    <row r="27" spans="1:11" x14ac:dyDescent="0.2">
      <c r="A27" t="s">
        <v>25</v>
      </c>
      <c r="B27" s="5">
        <v>13.48</v>
      </c>
      <c r="C27" s="1">
        <v>6661</v>
      </c>
      <c r="D27" s="1">
        <v>4.9000000000000002E-2</v>
      </c>
      <c r="E27" s="5">
        <f t="shared" si="0"/>
        <v>-21.52</v>
      </c>
      <c r="F27">
        <f>a_0*E27^3+b_1*E27^2+c_2*E27+d_3</f>
        <v>2.234575321973125</v>
      </c>
      <c r="G27" s="1">
        <f t="shared" si="1"/>
        <v>906.1393661624237</v>
      </c>
      <c r="H27">
        <v>103</v>
      </c>
      <c r="I27">
        <v>10.148892</v>
      </c>
      <c r="J27">
        <f t="shared" si="2"/>
        <v>0.11366904898549288</v>
      </c>
      <c r="K27">
        <f t="shared" si="3"/>
        <v>0.25400205173513668</v>
      </c>
    </row>
    <row r="28" spans="1:11" x14ac:dyDescent="0.2">
      <c r="A28" t="s">
        <v>26</v>
      </c>
      <c r="B28" s="5">
        <v>14.1</v>
      </c>
      <c r="C28" s="1">
        <v>7521</v>
      </c>
      <c r="D28" s="1">
        <v>5.8999999999999997E-2</v>
      </c>
      <c r="E28" s="5">
        <f t="shared" si="0"/>
        <v>-20.9</v>
      </c>
      <c r="F28">
        <f>a_0*E28^3+b_1*E28^2+c_2*E28+d_3</f>
        <v>1.6223285933497209</v>
      </c>
      <c r="G28" s="1">
        <f t="shared" si="1"/>
        <v>371.65400966651134</v>
      </c>
      <c r="H28">
        <v>132</v>
      </c>
      <c r="I28">
        <v>11.489125</v>
      </c>
      <c r="J28">
        <f t="shared" si="2"/>
        <v>0.35516904585112602</v>
      </c>
      <c r="K28">
        <f t="shared" si="3"/>
        <v>0.57620089855701984</v>
      </c>
    </row>
    <row r="29" spans="1:11" x14ac:dyDescent="0.2">
      <c r="A29" t="s">
        <v>27</v>
      </c>
      <c r="B29" s="5">
        <v>13.18</v>
      </c>
      <c r="C29" s="1">
        <v>4903</v>
      </c>
      <c r="D29" s="1">
        <v>6.3E-2</v>
      </c>
      <c r="E29" s="5">
        <f t="shared" si="0"/>
        <v>-21.82</v>
      </c>
      <c r="F29">
        <f>a_0*E29^3+b_1*E29^2+c_2*E29+d_3</f>
        <v>2.6743208779225824</v>
      </c>
      <c r="G29" s="1">
        <f t="shared" si="1"/>
        <v>1429.5966269286334</v>
      </c>
      <c r="H29">
        <v>343</v>
      </c>
      <c r="I29">
        <v>18.520258999999999</v>
      </c>
      <c r="J29">
        <f t="shared" si="2"/>
        <v>0.23992781847625527</v>
      </c>
      <c r="K29">
        <f t="shared" si="3"/>
        <v>0.64164397414546903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FA72-5FDF-274B-B167-34E4C35B8EA0}">
  <dimension ref="A1:E29"/>
  <sheetViews>
    <sheetView zoomScale="153" zoomScaleNormal="153" workbookViewId="0">
      <selection activeCell="B1" sqref="B1:D1048576"/>
    </sheetView>
  </sheetViews>
  <sheetFormatPr baseColWidth="10" defaultRowHeight="16" x14ac:dyDescent="0.2"/>
  <cols>
    <col min="2" max="2" width="9.5" bestFit="1" customWidth="1"/>
    <col min="3" max="3" width="12.83203125" bestFit="1" customWidth="1"/>
    <col min="4" max="4" width="14" bestFit="1" customWidth="1"/>
  </cols>
  <sheetData>
    <row r="1" spans="1:5" x14ac:dyDescent="0.2">
      <c r="B1" t="s">
        <v>576</v>
      </c>
      <c r="C1" t="s">
        <v>577</v>
      </c>
      <c r="D1" t="s">
        <v>578</v>
      </c>
      <c r="E1" t="s">
        <v>579</v>
      </c>
    </row>
    <row r="2" spans="1:5" x14ac:dyDescent="0.2">
      <c r="A2">
        <v>0</v>
      </c>
      <c r="B2" t="s">
        <v>0</v>
      </c>
      <c r="C2">
        <v>37</v>
      </c>
      <c r="D2">
        <v>6.0827629999999999</v>
      </c>
      <c r="E2" t="s">
        <v>580</v>
      </c>
    </row>
    <row r="3" spans="1:5" x14ac:dyDescent="0.2">
      <c r="A3">
        <v>1</v>
      </c>
      <c r="B3" t="s">
        <v>1</v>
      </c>
      <c r="C3">
        <v>42</v>
      </c>
      <c r="D3">
        <v>6.4807410000000001</v>
      </c>
      <c r="E3" t="s">
        <v>580</v>
      </c>
    </row>
    <row r="4" spans="1:5" x14ac:dyDescent="0.2">
      <c r="A4">
        <v>2</v>
      </c>
      <c r="B4" t="s">
        <v>2</v>
      </c>
      <c r="C4">
        <v>621</v>
      </c>
      <c r="D4">
        <v>24.919872000000002</v>
      </c>
      <c r="E4" t="s">
        <v>580</v>
      </c>
    </row>
    <row r="5" spans="1:5" x14ac:dyDescent="0.2">
      <c r="A5">
        <v>3</v>
      </c>
      <c r="B5" t="s">
        <v>3</v>
      </c>
      <c r="C5">
        <v>332</v>
      </c>
      <c r="D5">
        <v>18.220866999999998</v>
      </c>
      <c r="E5" t="s">
        <v>580</v>
      </c>
    </row>
    <row r="6" spans="1:5" x14ac:dyDescent="0.2">
      <c r="A6">
        <v>4</v>
      </c>
      <c r="B6" t="s">
        <v>4</v>
      </c>
      <c r="C6">
        <v>12</v>
      </c>
      <c r="D6">
        <v>3.464102</v>
      </c>
      <c r="E6" t="s">
        <v>580</v>
      </c>
    </row>
    <row r="7" spans="1:5" x14ac:dyDescent="0.2">
      <c r="A7">
        <v>5</v>
      </c>
      <c r="B7" t="s">
        <v>5</v>
      </c>
      <c r="C7">
        <v>54</v>
      </c>
      <c r="D7">
        <v>7.3484689999999997</v>
      </c>
      <c r="E7" t="s">
        <v>580</v>
      </c>
    </row>
    <row r="8" spans="1:5" x14ac:dyDescent="0.2">
      <c r="A8">
        <v>6</v>
      </c>
      <c r="B8" t="s">
        <v>6</v>
      </c>
      <c r="C8">
        <v>104</v>
      </c>
      <c r="D8">
        <v>10.198039</v>
      </c>
      <c r="E8" t="s">
        <v>580</v>
      </c>
    </row>
    <row r="9" spans="1:5" x14ac:dyDescent="0.2">
      <c r="A9">
        <v>7</v>
      </c>
      <c r="B9" t="s">
        <v>7</v>
      </c>
      <c r="C9">
        <v>26</v>
      </c>
      <c r="D9">
        <v>5.0990200000000003</v>
      </c>
      <c r="E9" t="s">
        <v>580</v>
      </c>
    </row>
    <row r="10" spans="1:5" x14ac:dyDescent="0.2">
      <c r="A10">
        <v>8</v>
      </c>
      <c r="B10" t="s">
        <v>8</v>
      </c>
      <c r="C10">
        <v>83</v>
      </c>
      <c r="D10">
        <v>9.1104339999999997</v>
      </c>
      <c r="E10" t="s">
        <v>580</v>
      </c>
    </row>
    <row r="11" spans="1:5" x14ac:dyDescent="0.2">
      <c r="A11">
        <v>9</v>
      </c>
      <c r="B11" t="s">
        <v>9</v>
      </c>
      <c r="C11">
        <v>0</v>
      </c>
      <c r="D11">
        <v>0</v>
      </c>
      <c r="E11" t="s">
        <v>580</v>
      </c>
    </row>
    <row r="12" spans="1:5" x14ac:dyDescent="0.2">
      <c r="A12">
        <v>10</v>
      </c>
      <c r="B12" t="s">
        <v>10</v>
      </c>
      <c r="C12">
        <v>121</v>
      </c>
      <c r="D12">
        <v>11</v>
      </c>
      <c r="E12" t="s">
        <v>580</v>
      </c>
    </row>
    <row r="13" spans="1:5" x14ac:dyDescent="0.2">
      <c r="A13">
        <v>11</v>
      </c>
      <c r="B13" t="s">
        <v>11</v>
      </c>
      <c r="C13">
        <v>119</v>
      </c>
      <c r="D13">
        <v>10.908712</v>
      </c>
      <c r="E13" t="s">
        <v>580</v>
      </c>
    </row>
    <row r="14" spans="1:5" x14ac:dyDescent="0.2">
      <c r="A14">
        <v>12</v>
      </c>
      <c r="B14" t="s">
        <v>12</v>
      </c>
      <c r="C14">
        <v>1273</v>
      </c>
      <c r="D14">
        <v>35.679125999999997</v>
      </c>
      <c r="E14" t="s">
        <v>580</v>
      </c>
    </row>
    <row r="15" spans="1:5" x14ac:dyDescent="0.2">
      <c r="A15">
        <v>13</v>
      </c>
      <c r="B15" t="s">
        <v>13</v>
      </c>
      <c r="C15">
        <v>79</v>
      </c>
      <c r="D15">
        <v>8.8881940000000004</v>
      </c>
      <c r="E15" t="s">
        <v>580</v>
      </c>
    </row>
    <row r="16" spans="1:5" x14ac:dyDescent="0.2">
      <c r="A16">
        <v>14</v>
      </c>
      <c r="B16" t="s">
        <v>14</v>
      </c>
      <c r="C16">
        <v>274</v>
      </c>
      <c r="D16">
        <v>16.552945000000001</v>
      </c>
      <c r="E16" t="s">
        <v>580</v>
      </c>
    </row>
    <row r="17" spans="1:5" x14ac:dyDescent="0.2">
      <c r="A17">
        <v>15</v>
      </c>
      <c r="B17" t="s">
        <v>15</v>
      </c>
      <c r="C17">
        <v>1022</v>
      </c>
      <c r="D17">
        <v>31.968734999999999</v>
      </c>
      <c r="E17" t="s">
        <v>580</v>
      </c>
    </row>
    <row r="18" spans="1:5" x14ac:dyDescent="0.2">
      <c r="A18">
        <v>16</v>
      </c>
      <c r="B18" t="s">
        <v>16</v>
      </c>
      <c r="C18">
        <v>171</v>
      </c>
      <c r="D18">
        <v>13.076696999999999</v>
      </c>
      <c r="E18" t="s">
        <v>580</v>
      </c>
    </row>
    <row r="19" spans="1:5" x14ac:dyDescent="0.2">
      <c r="A19">
        <v>17</v>
      </c>
      <c r="B19" t="s">
        <v>17</v>
      </c>
      <c r="C19">
        <v>1453</v>
      </c>
      <c r="D19">
        <v>38.118237000000001</v>
      </c>
      <c r="E19" t="s">
        <v>580</v>
      </c>
    </row>
    <row r="20" spans="1:5" x14ac:dyDescent="0.2">
      <c r="A20">
        <v>18</v>
      </c>
      <c r="B20" t="s">
        <v>18</v>
      </c>
      <c r="C20">
        <v>5655</v>
      </c>
      <c r="D20">
        <v>75.199734000000007</v>
      </c>
      <c r="E20" t="s">
        <v>580</v>
      </c>
    </row>
    <row r="21" spans="1:5" x14ac:dyDescent="0.2">
      <c r="A21">
        <v>19</v>
      </c>
      <c r="B21" t="s">
        <v>19</v>
      </c>
      <c r="C21">
        <v>68</v>
      </c>
      <c r="D21">
        <v>8.2462110000000006</v>
      </c>
      <c r="E21" t="s">
        <v>580</v>
      </c>
    </row>
    <row r="22" spans="1:5" x14ac:dyDescent="0.2">
      <c r="A22">
        <v>20</v>
      </c>
      <c r="B22" t="s">
        <v>20</v>
      </c>
      <c r="C22">
        <v>75</v>
      </c>
      <c r="D22">
        <v>8.6602540000000001</v>
      </c>
      <c r="E22" t="s">
        <v>580</v>
      </c>
    </row>
    <row r="23" spans="1:5" x14ac:dyDescent="0.2">
      <c r="A23">
        <v>21</v>
      </c>
      <c r="B23" t="s">
        <v>21</v>
      </c>
      <c r="C23">
        <v>785</v>
      </c>
      <c r="D23">
        <v>28.017851</v>
      </c>
      <c r="E23" t="s">
        <v>580</v>
      </c>
    </row>
    <row r="24" spans="1:5" x14ac:dyDescent="0.2">
      <c r="A24">
        <v>22</v>
      </c>
      <c r="B24" t="s">
        <v>22</v>
      </c>
      <c r="C24">
        <v>46</v>
      </c>
      <c r="D24">
        <v>6.78233</v>
      </c>
      <c r="E24" t="s">
        <v>580</v>
      </c>
    </row>
    <row r="25" spans="1:5" x14ac:dyDescent="0.2">
      <c r="A25">
        <v>23</v>
      </c>
      <c r="B25" t="s">
        <v>23</v>
      </c>
      <c r="C25">
        <v>5199</v>
      </c>
      <c r="D25">
        <v>72.104090999999997</v>
      </c>
      <c r="E25" t="s">
        <v>580</v>
      </c>
    </row>
    <row r="26" spans="1:5" x14ac:dyDescent="0.2">
      <c r="A26">
        <v>24</v>
      </c>
      <c r="B26" t="s">
        <v>24</v>
      </c>
      <c r="C26">
        <v>127</v>
      </c>
      <c r="D26">
        <v>11.269428</v>
      </c>
      <c r="E26" t="s">
        <v>580</v>
      </c>
    </row>
    <row r="27" spans="1:5" x14ac:dyDescent="0.2">
      <c r="A27">
        <v>25</v>
      </c>
      <c r="B27" t="s">
        <v>25</v>
      </c>
      <c r="C27">
        <v>103</v>
      </c>
      <c r="D27">
        <v>10.148892</v>
      </c>
      <c r="E27" t="s">
        <v>580</v>
      </c>
    </row>
    <row r="28" spans="1:5" x14ac:dyDescent="0.2">
      <c r="A28">
        <v>26</v>
      </c>
      <c r="B28" t="s">
        <v>26</v>
      </c>
      <c r="C28">
        <v>132</v>
      </c>
      <c r="D28">
        <v>11.489125</v>
      </c>
      <c r="E28" t="s">
        <v>580</v>
      </c>
    </row>
    <row r="29" spans="1:5" x14ac:dyDescent="0.2">
      <c r="A29">
        <v>27</v>
      </c>
      <c r="B29" t="s">
        <v>27</v>
      </c>
      <c r="C29">
        <v>343</v>
      </c>
      <c r="D29">
        <v>18.520258999999999</v>
      </c>
      <c r="E29" t="s">
        <v>580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A285-B970-9C40-984D-BF1F9B252A54}">
  <dimension ref="A1:K158"/>
  <sheetViews>
    <sheetView workbookViewId="0">
      <selection activeCell="G1" sqref="G1"/>
    </sheetView>
  </sheetViews>
  <sheetFormatPr baseColWidth="10" defaultRowHeight="16" x14ac:dyDescent="0.2"/>
  <cols>
    <col min="3" max="4" width="10.83203125" style="9"/>
  </cols>
  <sheetData>
    <row r="1" spans="1:11" ht="17" x14ac:dyDescent="0.25">
      <c r="A1" s="8" t="s">
        <v>42</v>
      </c>
      <c r="B1" t="s">
        <v>43</v>
      </c>
      <c r="C1" s="9" t="s">
        <v>44</v>
      </c>
      <c r="D1" s="9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 spans="1:11" ht="17" x14ac:dyDescent="0.25">
      <c r="A2" s="8" t="s">
        <v>205</v>
      </c>
      <c r="B2" t="s">
        <v>206</v>
      </c>
      <c r="C2" s="9" t="s">
        <v>207</v>
      </c>
      <c r="D2" s="9" t="s">
        <v>208</v>
      </c>
      <c r="E2">
        <v>350.97</v>
      </c>
      <c r="F2">
        <v>15.97</v>
      </c>
      <c r="G2">
        <v>2.2000000000000002</v>
      </c>
      <c r="H2">
        <v>5.9</v>
      </c>
      <c r="I2">
        <v>2.1</v>
      </c>
      <c r="J2">
        <v>-0.3</v>
      </c>
      <c r="K2">
        <v>0.6</v>
      </c>
    </row>
    <row r="3" spans="1:11" ht="17" x14ac:dyDescent="0.25">
      <c r="A3" s="8" t="s">
        <v>348</v>
      </c>
      <c r="C3" s="9" t="s">
        <v>349</v>
      </c>
      <c r="D3" s="9" t="s">
        <v>350</v>
      </c>
      <c r="E3">
        <v>338.17</v>
      </c>
      <c r="F3">
        <v>-11.96</v>
      </c>
      <c r="G3">
        <v>2.2999999999999998</v>
      </c>
      <c r="H3">
        <v>6</v>
      </c>
      <c r="I3">
        <v>2.1</v>
      </c>
      <c r="J3">
        <v>-0.8</v>
      </c>
      <c r="K3">
        <v>-0.5</v>
      </c>
    </row>
    <row r="4" spans="1:11" ht="17" x14ac:dyDescent="0.25">
      <c r="A4" s="8" t="s">
        <v>412</v>
      </c>
      <c r="C4" s="9" t="s">
        <v>413</v>
      </c>
      <c r="D4" s="9" t="s">
        <v>414</v>
      </c>
      <c r="E4">
        <v>5.84</v>
      </c>
      <c r="F4">
        <v>-2.2000000000000002</v>
      </c>
      <c r="G4">
        <v>3</v>
      </c>
      <c r="H4">
        <v>5.0999999999999996</v>
      </c>
      <c r="I4">
        <v>2.9</v>
      </c>
      <c r="J4">
        <v>0.3</v>
      </c>
      <c r="K4">
        <v>-0.1</v>
      </c>
    </row>
    <row r="5" spans="1:11" ht="17" x14ac:dyDescent="0.25">
      <c r="A5" s="8" t="s">
        <v>476</v>
      </c>
      <c r="B5" t="s">
        <v>477</v>
      </c>
      <c r="C5" s="9" t="s">
        <v>478</v>
      </c>
      <c r="D5" s="9" t="s">
        <v>479</v>
      </c>
      <c r="E5">
        <v>9.89</v>
      </c>
      <c r="F5">
        <v>-7.55</v>
      </c>
      <c r="G5">
        <v>3.2</v>
      </c>
      <c r="H5">
        <v>4.9000000000000004</v>
      </c>
      <c r="I5">
        <v>3.2</v>
      </c>
      <c r="J5">
        <v>0.6</v>
      </c>
      <c r="K5">
        <v>-0.4</v>
      </c>
    </row>
    <row r="6" spans="1:11" ht="17" x14ac:dyDescent="0.25">
      <c r="A6" s="8" t="s">
        <v>309</v>
      </c>
      <c r="C6" s="9" t="s">
        <v>310</v>
      </c>
      <c r="D6" s="9" t="s">
        <v>311</v>
      </c>
      <c r="E6">
        <v>18.41</v>
      </c>
      <c r="F6">
        <v>16.04</v>
      </c>
      <c r="G6">
        <v>3.5</v>
      </c>
      <c r="H6">
        <v>5</v>
      </c>
      <c r="I6">
        <v>3.2</v>
      </c>
      <c r="J6">
        <v>1.1000000000000001</v>
      </c>
      <c r="K6">
        <v>1</v>
      </c>
    </row>
    <row r="7" spans="1:11" ht="17" x14ac:dyDescent="0.25">
      <c r="A7" s="8" t="s">
        <v>418</v>
      </c>
      <c r="B7" t="s">
        <v>419</v>
      </c>
      <c r="C7" s="9" t="s">
        <v>420</v>
      </c>
      <c r="D7" s="9" t="s">
        <v>421</v>
      </c>
      <c r="E7">
        <v>10.48</v>
      </c>
      <c r="F7">
        <v>0.11</v>
      </c>
      <c r="G7">
        <v>3.6</v>
      </c>
      <c r="H7">
        <v>4.5</v>
      </c>
      <c r="I7">
        <v>3.5</v>
      </c>
      <c r="J7">
        <v>0.7</v>
      </c>
      <c r="K7">
        <v>0</v>
      </c>
    </row>
    <row r="8" spans="1:11" ht="17" x14ac:dyDescent="0.25">
      <c r="A8" s="8" t="s">
        <v>507</v>
      </c>
      <c r="C8" s="9" t="s">
        <v>508</v>
      </c>
      <c r="D8" s="9" t="s">
        <v>509</v>
      </c>
      <c r="E8">
        <v>336.49</v>
      </c>
      <c r="F8">
        <v>-25.63</v>
      </c>
      <c r="G8">
        <v>4</v>
      </c>
      <c r="H8">
        <v>5.2</v>
      </c>
      <c r="I8">
        <v>3.3</v>
      </c>
      <c r="J8">
        <v>-1.4</v>
      </c>
      <c r="K8">
        <v>-1.7</v>
      </c>
    </row>
    <row r="9" spans="1:11" ht="17" x14ac:dyDescent="0.25">
      <c r="A9" s="8" t="s">
        <v>536</v>
      </c>
      <c r="B9" t="s">
        <v>537</v>
      </c>
      <c r="C9" s="9" t="s">
        <v>538</v>
      </c>
      <c r="D9" s="9" t="s">
        <v>539</v>
      </c>
      <c r="E9">
        <v>56.75</v>
      </c>
      <c r="F9">
        <v>-4.5599999999999996</v>
      </c>
      <c r="G9">
        <v>4</v>
      </c>
      <c r="H9">
        <v>6.7</v>
      </c>
      <c r="I9">
        <v>2.2000000000000002</v>
      </c>
      <c r="J9">
        <v>3.4</v>
      </c>
      <c r="K9">
        <v>-0.3</v>
      </c>
    </row>
    <row r="10" spans="1:11" ht="17" x14ac:dyDescent="0.25">
      <c r="A10" s="8" t="s">
        <v>487</v>
      </c>
      <c r="C10" s="9" t="s">
        <v>488</v>
      </c>
      <c r="D10" s="9" t="s">
        <v>489</v>
      </c>
      <c r="E10">
        <v>31.31</v>
      </c>
      <c r="F10">
        <v>-0.1</v>
      </c>
      <c r="G10">
        <v>4.2</v>
      </c>
      <c r="H10">
        <v>4.9000000000000004</v>
      </c>
      <c r="I10">
        <v>3.6</v>
      </c>
      <c r="J10">
        <v>2.2000000000000002</v>
      </c>
      <c r="K10">
        <v>0</v>
      </c>
    </row>
    <row r="11" spans="1:11" ht="17" x14ac:dyDescent="0.25">
      <c r="A11" s="8" t="s">
        <v>246</v>
      </c>
      <c r="B11" t="s">
        <v>247</v>
      </c>
      <c r="C11" s="9" t="s">
        <v>248</v>
      </c>
      <c r="D11" s="9" t="s">
        <v>249</v>
      </c>
      <c r="E11">
        <v>15.14</v>
      </c>
      <c r="F11">
        <v>23.08</v>
      </c>
      <c r="G11">
        <v>4.4000000000000004</v>
      </c>
      <c r="H11">
        <v>4.5999999999999996</v>
      </c>
      <c r="I11">
        <v>3.9</v>
      </c>
      <c r="J11">
        <v>1.1000000000000001</v>
      </c>
      <c r="K11">
        <v>1.7</v>
      </c>
    </row>
    <row r="12" spans="1:11" ht="17" x14ac:dyDescent="0.25">
      <c r="A12" s="8" t="s">
        <v>53</v>
      </c>
      <c r="B12" t="s">
        <v>54</v>
      </c>
      <c r="C12" s="9" t="s">
        <v>55</v>
      </c>
      <c r="D12" s="9" t="s">
        <v>56</v>
      </c>
      <c r="E12">
        <v>305.89</v>
      </c>
      <c r="F12">
        <v>-44.89</v>
      </c>
      <c r="G12">
        <v>4.5</v>
      </c>
      <c r="H12">
        <v>7.4</v>
      </c>
      <c r="I12">
        <v>1.9</v>
      </c>
      <c r="J12">
        <v>-2.6</v>
      </c>
      <c r="K12">
        <v>-3.1</v>
      </c>
    </row>
    <row r="13" spans="1:11" ht="17" x14ac:dyDescent="0.25">
      <c r="A13" s="8" t="s">
        <v>236</v>
      </c>
      <c r="B13" t="s">
        <v>237</v>
      </c>
      <c r="C13" s="9" t="s">
        <v>238</v>
      </c>
      <c r="D13" s="9" t="s">
        <v>239</v>
      </c>
      <c r="E13">
        <v>15.72</v>
      </c>
      <c r="F13">
        <v>26.31</v>
      </c>
      <c r="G13">
        <v>4.8</v>
      </c>
      <c r="H13">
        <v>4.5</v>
      </c>
      <c r="I13">
        <v>4.2</v>
      </c>
      <c r="J13">
        <v>1.2</v>
      </c>
      <c r="K13">
        <v>2.1</v>
      </c>
    </row>
    <row r="14" spans="1:11" ht="17" x14ac:dyDescent="0.25">
      <c r="A14" s="8" t="s">
        <v>440</v>
      </c>
      <c r="C14" s="9" t="s">
        <v>441</v>
      </c>
      <c r="D14" s="9" t="s">
        <v>442</v>
      </c>
      <c r="E14">
        <v>8.3699999999999992</v>
      </c>
      <c r="F14">
        <v>-2.1</v>
      </c>
      <c r="G14">
        <v>4.8</v>
      </c>
      <c r="H14">
        <v>3.4</v>
      </c>
      <c r="I14">
        <v>4.7</v>
      </c>
      <c r="J14">
        <v>0.7</v>
      </c>
      <c r="K14">
        <v>-0.2</v>
      </c>
    </row>
    <row r="15" spans="1:11" ht="17" x14ac:dyDescent="0.25">
      <c r="A15" s="8" t="s">
        <v>110</v>
      </c>
      <c r="C15" s="9" t="s">
        <v>111</v>
      </c>
      <c r="D15" s="9" t="s">
        <v>112</v>
      </c>
      <c r="E15">
        <v>277.23</v>
      </c>
      <c r="F15">
        <v>8.64</v>
      </c>
      <c r="G15">
        <v>4.9000000000000004</v>
      </c>
      <c r="H15">
        <v>8.8000000000000007</v>
      </c>
      <c r="I15">
        <v>0.6</v>
      </c>
      <c r="J15">
        <v>-4.8</v>
      </c>
      <c r="K15">
        <v>0.7</v>
      </c>
    </row>
    <row r="16" spans="1:11" ht="17" x14ac:dyDescent="0.25">
      <c r="A16" s="8" t="s">
        <v>429</v>
      </c>
      <c r="B16" t="s">
        <v>430</v>
      </c>
      <c r="C16" s="9" t="s">
        <v>431</v>
      </c>
      <c r="D16" s="9" t="s">
        <v>432</v>
      </c>
      <c r="E16">
        <v>9.7899999999999991</v>
      </c>
      <c r="F16">
        <v>-0.61</v>
      </c>
      <c r="G16">
        <v>4.9000000000000004</v>
      </c>
      <c r="H16">
        <v>3.2</v>
      </c>
      <c r="I16">
        <v>4.9000000000000004</v>
      </c>
      <c r="J16">
        <v>0.8</v>
      </c>
      <c r="K16">
        <v>-0.1</v>
      </c>
    </row>
    <row r="17" spans="1:11" ht="17" x14ac:dyDescent="0.25">
      <c r="A17" s="8" t="s">
        <v>142</v>
      </c>
      <c r="B17" t="s">
        <v>143</v>
      </c>
      <c r="C17" s="9" t="s">
        <v>144</v>
      </c>
      <c r="D17" s="9" t="s">
        <v>145</v>
      </c>
      <c r="E17">
        <v>309.10000000000002</v>
      </c>
      <c r="F17">
        <v>14.97</v>
      </c>
      <c r="G17">
        <v>5.2</v>
      </c>
      <c r="H17">
        <v>6.4</v>
      </c>
      <c r="I17">
        <v>3.1</v>
      </c>
      <c r="J17">
        <v>-3.9</v>
      </c>
      <c r="K17">
        <v>1.3</v>
      </c>
    </row>
    <row r="18" spans="1:11" ht="17" x14ac:dyDescent="0.25">
      <c r="A18" s="8" t="s">
        <v>408</v>
      </c>
      <c r="B18" t="s">
        <v>409</v>
      </c>
      <c r="C18" s="9" t="s">
        <v>410</v>
      </c>
      <c r="D18" s="9" t="s">
        <v>411</v>
      </c>
      <c r="E18">
        <v>3.29</v>
      </c>
      <c r="F18">
        <v>-3.31</v>
      </c>
      <c r="G18">
        <v>5.3</v>
      </c>
      <c r="H18">
        <v>2.8</v>
      </c>
      <c r="I18">
        <v>5.2</v>
      </c>
      <c r="J18">
        <v>0.3</v>
      </c>
      <c r="K18">
        <v>-0.3</v>
      </c>
    </row>
    <row r="19" spans="1:11" ht="17" x14ac:dyDescent="0.25">
      <c r="A19" s="8" t="s">
        <v>436</v>
      </c>
      <c r="B19" t="s">
        <v>437</v>
      </c>
      <c r="C19" s="9" t="s">
        <v>438</v>
      </c>
      <c r="D19" s="9" t="s">
        <v>439</v>
      </c>
      <c r="E19">
        <v>21.83</v>
      </c>
      <c r="F19">
        <v>5.67</v>
      </c>
      <c r="G19">
        <v>5.4</v>
      </c>
      <c r="H19">
        <v>3.7</v>
      </c>
      <c r="I19">
        <v>5</v>
      </c>
      <c r="J19">
        <v>2</v>
      </c>
      <c r="K19">
        <v>0.5</v>
      </c>
    </row>
    <row r="20" spans="1:11" ht="17" x14ac:dyDescent="0.25">
      <c r="A20" s="8" t="s">
        <v>526</v>
      </c>
      <c r="B20" t="s">
        <v>527</v>
      </c>
      <c r="C20" s="9" t="s">
        <v>528</v>
      </c>
      <c r="D20" s="9" t="s">
        <v>529</v>
      </c>
      <c r="E20">
        <v>8.7899999999999991</v>
      </c>
      <c r="F20">
        <v>-23.27</v>
      </c>
      <c r="G20">
        <v>5.4</v>
      </c>
      <c r="H20">
        <v>3.9</v>
      </c>
      <c r="I20">
        <v>4.9000000000000004</v>
      </c>
      <c r="J20">
        <v>0.8</v>
      </c>
      <c r="K20">
        <v>-2.1</v>
      </c>
    </row>
    <row r="21" spans="1:11" ht="17" x14ac:dyDescent="0.25">
      <c r="A21" s="8" t="s">
        <v>450</v>
      </c>
      <c r="C21" s="9" t="s">
        <v>451</v>
      </c>
      <c r="D21" s="9" t="s">
        <v>452</v>
      </c>
      <c r="E21">
        <v>14.14</v>
      </c>
      <c r="F21">
        <v>-0.64</v>
      </c>
      <c r="G21">
        <v>5.5</v>
      </c>
      <c r="H21">
        <v>3</v>
      </c>
      <c r="I21">
        <v>5.4</v>
      </c>
      <c r="J21">
        <v>1.4</v>
      </c>
      <c r="K21">
        <v>-0.1</v>
      </c>
    </row>
    <row r="22" spans="1:11" ht="17" x14ac:dyDescent="0.25">
      <c r="A22" s="8" t="s">
        <v>459</v>
      </c>
      <c r="B22" t="s">
        <v>460</v>
      </c>
      <c r="C22" s="9" t="s">
        <v>461</v>
      </c>
      <c r="D22" s="9" t="s">
        <v>462</v>
      </c>
      <c r="E22">
        <v>7.8</v>
      </c>
      <c r="F22">
        <v>-5.58</v>
      </c>
      <c r="G22">
        <v>5.5</v>
      </c>
      <c r="H22">
        <v>2.7</v>
      </c>
      <c r="I22">
        <v>5.4</v>
      </c>
      <c r="J22">
        <v>0.7</v>
      </c>
      <c r="K22">
        <v>-0.5</v>
      </c>
    </row>
    <row r="23" spans="1:11" ht="17" x14ac:dyDescent="0.25">
      <c r="A23" s="8" t="s">
        <v>299</v>
      </c>
      <c r="C23" s="9" t="s">
        <v>300</v>
      </c>
      <c r="D23" s="9" t="s">
        <v>301</v>
      </c>
      <c r="E23">
        <v>341.42</v>
      </c>
      <c r="F23">
        <v>-7.17</v>
      </c>
      <c r="G23">
        <v>5.6</v>
      </c>
      <c r="H23">
        <v>3.3</v>
      </c>
      <c r="I23">
        <v>5.3</v>
      </c>
      <c r="J23">
        <v>-1.8</v>
      </c>
      <c r="K23">
        <v>-0.7</v>
      </c>
    </row>
    <row r="24" spans="1:11" ht="17" x14ac:dyDescent="0.25">
      <c r="A24" s="8" t="s">
        <v>122</v>
      </c>
      <c r="C24" s="9" t="s">
        <v>123</v>
      </c>
      <c r="D24" s="9" t="s">
        <v>124</v>
      </c>
      <c r="E24">
        <v>300.99</v>
      </c>
      <c r="F24">
        <v>-9.8800000000000008</v>
      </c>
      <c r="G24">
        <v>5.8</v>
      </c>
      <c r="H24">
        <v>7.1</v>
      </c>
      <c r="I24">
        <v>2.9</v>
      </c>
      <c r="J24">
        <v>-4.9000000000000004</v>
      </c>
      <c r="K24">
        <v>-1</v>
      </c>
    </row>
    <row r="25" spans="1:11" ht="17" x14ac:dyDescent="0.25">
      <c r="A25" s="8" t="s">
        <v>351</v>
      </c>
      <c r="C25" s="9" t="s">
        <v>352</v>
      </c>
      <c r="D25" s="9" t="s">
        <v>353</v>
      </c>
      <c r="E25">
        <v>2.1</v>
      </c>
      <c r="F25">
        <v>1.78</v>
      </c>
      <c r="G25">
        <v>5.8</v>
      </c>
      <c r="H25">
        <v>2.2000000000000002</v>
      </c>
      <c r="I25">
        <v>5.8</v>
      </c>
      <c r="J25">
        <v>0.2</v>
      </c>
      <c r="K25">
        <v>0.2</v>
      </c>
    </row>
    <row r="26" spans="1:11" ht="17" x14ac:dyDescent="0.25">
      <c r="A26" s="8" t="s">
        <v>393</v>
      </c>
      <c r="C26" s="9" t="s">
        <v>394</v>
      </c>
      <c r="D26" s="9" t="s">
        <v>395</v>
      </c>
      <c r="E26">
        <v>4.49</v>
      </c>
      <c r="F26">
        <v>-1.99</v>
      </c>
      <c r="G26">
        <v>5.8</v>
      </c>
      <c r="H26">
        <v>2.2999999999999998</v>
      </c>
      <c r="I26">
        <v>5.8</v>
      </c>
      <c r="J26">
        <v>0.5</v>
      </c>
      <c r="K26">
        <v>-0.2</v>
      </c>
    </row>
    <row r="27" spans="1:11" ht="17" x14ac:dyDescent="0.25">
      <c r="A27" s="8" t="s">
        <v>273</v>
      </c>
      <c r="C27" s="9" t="s">
        <v>274</v>
      </c>
      <c r="D27" s="9" t="s">
        <v>275</v>
      </c>
      <c r="E27">
        <v>355.83</v>
      </c>
      <c r="F27">
        <v>5.38</v>
      </c>
      <c r="G27">
        <v>5.9</v>
      </c>
      <c r="H27">
        <v>2.2999999999999998</v>
      </c>
      <c r="I27">
        <v>5.8</v>
      </c>
      <c r="J27">
        <v>-0.4</v>
      </c>
      <c r="K27">
        <v>0.6</v>
      </c>
    </row>
    <row r="28" spans="1:11" ht="17" x14ac:dyDescent="0.25">
      <c r="A28" s="8" t="s">
        <v>520</v>
      </c>
      <c r="C28" s="9" t="s">
        <v>521</v>
      </c>
      <c r="D28" s="9" t="s">
        <v>522</v>
      </c>
      <c r="E28">
        <v>52.43</v>
      </c>
      <c r="F28">
        <v>2.72</v>
      </c>
      <c r="G28">
        <v>5.9</v>
      </c>
      <c r="H28">
        <v>6.4</v>
      </c>
      <c r="I28">
        <v>3.6</v>
      </c>
      <c r="J28">
        <v>4.7</v>
      </c>
      <c r="K28">
        <v>0.3</v>
      </c>
    </row>
    <row r="29" spans="1:11" ht="17" x14ac:dyDescent="0.25">
      <c r="A29" s="8" t="s">
        <v>426</v>
      </c>
      <c r="C29" s="9" t="s">
        <v>427</v>
      </c>
      <c r="D29" s="9" t="s">
        <v>428</v>
      </c>
      <c r="E29">
        <v>5.26</v>
      </c>
      <c r="F29">
        <v>-3.03</v>
      </c>
      <c r="G29">
        <v>6</v>
      </c>
      <c r="H29">
        <v>2.2000000000000002</v>
      </c>
      <c r="I29">
        <v>5.9</v>
      </c>
      <c r="J29">
        <v>0.5</v>
      </c>
      <c r="K29">
        <v>-0.3</v>
      </c>
    </row>
    <row r="30" spans="1:11" ht="17" x14ac:dyDescent="0.25">
      <c r="A30" s="8" t="s">
        <v>386</v>
      </c>
      <c r="B30" t="s">
        <v>387</v>
      </c>
      <c r="C30" s="9" t="s">
        <v>388</v>
      </c>
      <c r="D30" s="9" t="s">
        <v>389</v>
      </c>
      <c r="E30">
        <v>2.77</v>
      </c>
      <c r="F30">
        <v>-2.5</v>
      </c>
      <c r="G30">
        <v>6.3</v>
      </c>
      <c r="H30">
        <v>1.8</v>
      </c>
      <c r="I30">
        <v>6.2</v>
      </c>
      <c r="J30">
        <v>0.3</v>
      </c>
      <c r="K30">
        <v>-0.3</v>
      </c>
    </row>
    <row r="31" spans="1:11" ht="17" x14ac:dyDescent="0.25">
      <c r="A31" s="8" t="s">
        <v>221</v>
      </c>
      <c r="B31" t="s">
        <v>222</v>
      </c>
      <c r="C31" s="9" t="s">
        <v>223</v>
      </c>
      <c r="D31" s="9" t="s">
        <v>224</v>
      </c>
      <c r="E31">
        <v>3.37</v>
      </c>
      <c r="F31">
        <v>23.01</v>
      </c>
      <c r="G31">
        <v>6.4</v>
      </c>
      <c r="H31">
        <v>3.3</v>
      </c>
      <c r="I31">
        <v>5.9</v>
      </c>
      <c r="J31">
        <v>0.3</v>
      </c>
      <c r="K31">
        <v>2.5</v>
      </c>
    </row>
    <row r="32" spans="1:11" ht="17" x14ac:dyDescent="0.25">
      <c r="A32" s="8" t="s">
        <v>446</v>
      </c>
      <c r="B32" t="s">
        <v>447</v>
      </c>
      <c r="C32" s="9" t="s">
        <v>448</v>
      </c>
      <c r="D32" s="9" t="s">
        <v>449</v>
      </c>
      <c r="E32">
        <v>3.36</v>
      </c>
      <c r="F32">
        <v>-5.27</v>
      </c>
      <c r="G32">
        <v>6.5</v>
      </c>
      <c r="H32">
        <v>1.7</v>
      </c>
      <c r="I32">
        <v>6.5</v>
      </c>
      <c r="J32">
        <v>0.4</v>
      </c>
      <c r="K32">
        <v>-0.6</v>
      </c>
    </row>
    <row r="33" spans="1:11" ht="17" x14ac:dyDescent="0.25">
      <c r="A33" s="8" t="s">
        <v>132</v>
      </c>
      <c r="C33" s="9" t="s">
        <v>133</v>
      </c>
      <c r="D33" s="9" t="s">
        <v>134</v>
      </c>
      <c r="E33">
        <v>303.60000000000002</v>
      </c>
      <c r="F33">
        <v>-8.02</v>
      </c>
      <c r="G33">
        <v>6.6</v>
      </c>
      <c r="H33">
        <v>7</v>
      </c>
      <c r="I33">
        <v>3.6</v>
      </c>
      <c r="J33">
        <v>-5.4</v>
      </c>
      <c r="K33">
        <v>-0.9</v>
      </c>
    </row>
    <row r="34" spans="1:11" ht="17" x14ac:dyDescent="0.25">
      <c r="A34" s="8" t="s">
        <v>330</v>
      </c>
      <c r="B34" t="s">
        <v>331</v>
      </c>
      <c r="C34" s="9" t="s">
        <v>332</v>
      </c>
      <c r="D34" s="9" t="s">
        <v>333</v>
      </c>
      <c r="E34">
        <v>357.57</v>
      </c>
      <c r="F34">
        <v>1</v>
      </c>
      <c r="G34">
        <v>6.7</v>
      </c>
      <c r="H34">
        <v>1.3</v>
      </c>
      <c r="I34">
        <v>6.7</v>
      </c>
      <c r="J34">
        <v>-0.3</v>
      </c>
      <c r="K34">
        <v>0.1</v>
      </c>
    </row>
    <row r="35" spans="1:11" ht="17" x14ac:dyDescent="0.25">
      <c r="A35" s="8" t="s">
        <v>256</v>
      </c>
      <c r="B35" t="s">
        <v>257</v>
      </c>
      <c r="C35" s="9" t="s">
        <v>258</v>
      </c>
      <c r="D35" s="9" t="s">
        <v>259</v>
      </c>
      <c r="E35">
        <v>353.57</v>
      </c>
      <c r="F35">
        <v>7.32</v>
      </c>
      <c r="G35">
        <v>6.8</v>
      </c>
      <c r="H35">
        <v>1.7</v>
      </c>
      <c r="I35">
        <v>6.7</v>
      </c>
      <c r="J35">
        <v>-0.8</v>
      </c>
      <c r="K35">
        <v>0.9</v>
      </c>
    </row>
    <row r="36" spans="1:11" ht="17" x14ac:dyDescent="0.25">
      <c r="A36" s="8" t="s">
        <v>370</v>
      </c>
      <c r="B36" t="s">
        <v>371</v>
      </c>
      <c r="C36" s="9" t="s">
        <v>372</v>
      </c>
      <c r="D36" s="9" t="s">
        <v>373</v>
      </c>
      <c r="E36">
        <v>358.57</v>
      </c>
      <c r="F36">
        <v>-2.16</v>
      </c>
      <c r="G36">
        <v>6.8</v>
      </c>
      <c r="H36">
        <v>1.3</v>
      </c>
      <c r="I36">
        <v>6.8</v>
      </c>
      <c r="J36">
        <v>-0.2</v>
      </c>
      <c r="K36">
        <v>-0.3</v>
      </c>
    </row>
    <row r="37" spans="1:11" ht="17" x14ac:dyDescent="0.25">
      <c r="A37" s="8" t="s">
        <v>399</v>
      </c>
      <c r="C37" s="9" t="s">
        <v>400</v>
      </c>
      <c r="D37" s="9" t="s">
        <v>401</v>
      </c>
      <c r="E37">
        <v>27.18</v>
      </c>
      <c r="F37">
        <v>10.44</v>
      </c>
      <c r="G37">
        <v>6.8</v>
      </c>
      <c r="H37">
        <v>3.9</v>
      </c>
      <c r="I37">
        <v>6</v>
      </c>
      <c r="J37">
        <v>3.1</v>
      </c>
      <c r="K37">
        <v>1.2</v>
      </c>
    </row>
    <row r="38" spans="1:11" ht="17" x14ac:dyDescent="0.25">
      <c r="A38" s="8" t="s">
        <v>360</v>
      </c>
      <c r="B38" t="s">
        <v>361</v>
      </c>
      <c r="C38" s="9" t="s">
        <v>362</v>
      </c>
      <c r="D38" s="9" t="s">
        <v>363</v>
      </c>
      <c r="E38">
        <v>3.84</v>
      </c>
      <c r="F38">
        <v>1.69</v>
      </c>
      <c r="G38">
        <v>6.9</v>
      </c>
      <c r="H38">
        <v>1.2</v>
      </c>
      <c r="I38">
        <v>6.9</v>
      </c>
      <c r="J38">
        <v>0.5</v>
      </c>
      <c r="K38">
        <v>0.2</v>
      </c>
    </row>
    <row r="39" spans="1:11" ht="17" x14ac:dyDescent="0.25">
      <c r="A39" s="8" t="s">
        <v>490</v>
      </c>
      <c r="C39" s="9" t="s">
        <v>491</v>
      </c>
      <c r="D39" s="9" t="s">
        <v>492</v>
      </c>
      <c r="E39">
        <v>25.35</v>
      </c>
      <c r="F39">
        <v>-4.32</v>
      </c>
      <c r="G39">
        <v>6.9</v>
      </c>
      <c r="H39">
        <v>3.5</v>
      </c>
      <c r="I39">
        <v>6.3</v>
      </c>
      <c r="J39">
        <v>3</v>
      </c>
      <c r="K39">
        <v>-0.5</v>
      </c>
    </row>
    <row r="40" spans="1:11" ht="17" x14ac:dyDescent="0.25">
      <c r="A40" s="8" t="s">
        <v>229</v>
      </c>
      <c r="B40" t="s">
        <v>230</v>
      </c>
      <c r="C40" s="9" t="s">
        <v>231</v>
      </c>
      <c r="D40" s="9" t="s">
        <v>232</v>
      </c>
      <c r="E40">
        <v>59.01</v>
      </c>
      <c r="F40">
        <v>40.909999999999997</v>
      </c>
      <c r="G40">
        <v>7.1</v>
      </c>
      <c r="H40">
        <v>8.4</v>
      </c>
      <c r="I40">
        <v>2.8</v>
      </c>
      <c r="J40">
        <v>4.5999999999999996</v>
      </c>
      <c r="K40">
        <v>4.7</v>
      </c>
    </row>
    <row r="41" spans="1:11" ht="17" x14ac:dyDescent="0.25">
      <c r="A41" s="8" t="s">
        <v>383</v>
      </c>
      <c r="C41" s="9" t="s">
        <v>384</v>
      </c>
      <c r="D41" s="9" t="s">
        <v>385</v>
      </c>
      <c r="E41">
        <v>3.61</v>
      </c>
      <c r="F41">
        <v>-1.99</v>
      </c>
      <c r="G41">
        <v>7.1</v>
      </c>
      <c r="H41">
        <v>1.1000000000000001</v>
      </c>
      <c r="I41">
        <v>7.1</v>
      </c>
      <c r="J41">
        <v>0.4</v>
      </c>
      <c r="K41">
        <v>-0.2</v>
      </c>
    </row>
    <row r="42" spans="1:11" ht="17" x14ac:dyDescent="0.25">
      <c r="A42" s="8" t="s">
        <v>497</v>
      </c>
      <c r="B42" t="s">
        <v>498</v>
      </c>
      <c r="C42" s="9" t="s">
        <v>499</v>
      </c>
      <c r="D42" s="9" t="s">
        <v>500</v>
      </c>
      <c r="E42">
        <v>12.88</v>
      </c>
      <c r="F42">
        <v>-10.9</v>
      </c>
      <c r="G42">
        <v>7.1</v>
      </c>
      <c r="H42">
        <v>2.4</v>
      </c>
      <c r="I42">
        <v>6.8</v>
      </c>
      <c r="J42">
        <v>1.6</v>
      </c>
      <c r="K42">
        <v>-1.3</v>
      </c>
    </row>
    <row r="43" spans="1:11" ht="17" x14ac:dyDescent="0.25">
      <c r="A43" s="8" t="s">
        <v>312</v>
      </c>
      <c r="B43" t="s">
        <v>313</v>
      </c>
      <c r="C43" s="9" t="s">
        <v>314</v>
      </c>
      <c r="D43" s="9" t="s">
        <v>315</v>
      </c>
      <c r="E43">
        <v>356.02</v>
      </c>
      <c r="F43">
        <v>1.31</v>
      </c>
      <c r="G43">
        <v>7.2</v>
      </c>
      <c r="H43">
        <v>1</v>
      </c>
      <c r="I43">
        <v>7.2</v>
      </c>
      <c r="J43">
        <v>-0.5</v>
      </c>
      <c r="K43">
        <v>0.2</v>
      </c>
    </row>
    <row r="44" spans="1:11" ht="17" x14ac:dyDescent="0.25">
      <c r="A44" s="8" t="s">
        <v>433</v>
      </c>
      <c r="C44" s="9" t="s">
        <v>434</v>
      </c>
      <c r="D44" s="9" t="s">
        <v>435</v>
      </c>
      <c r="E44">
        <v>0.2</v>
      </c>
      <c r="F44">
        <v>-6.02</v>
      </c>
      <c r="G44">
        <v>7.4</v>
      </c>
      <c r="H44">
        <v>1</v>
      </c>
      <c r="I44">
        <v>7.3</v>
      </c>
      <c r="J44">
        <v>0</v>
      </c>
      <c r="K44">
        <v>-0.8</v>
      </c>
    </row>
    <row r="45" spans="1:11" ht="17" x14ac:dyDescent="0.25">
      <c r="A45" s="8" t="s">
        <v>510</v>
      </c>
      <c r="C45" s="9" t="s">
        <v>511</v>
      </c>
      <c r="D45" s="9" t="s">
        <v>512</v>
      </c>
      <c r="E45">
        <v>36.11</v>
      </c>
      <c r="F45">
        <v>-3.92</v>
      </c>
      <c r="G45">
        <v>7.4</v>
      </c>
      <c r="H45">
        <v>4.8</v>
      </c>
      <c r="I45">
        <v>5.9</v>
      </c>
      <c r="J45">
        <v>4.3</v>
      </c>
      <c r="K45">
        <v>-0.5</v>
      </c>
    </row>
    <row r="46" spans="1:11" ht="17" x14ac:dyDescent="0.25">
      <c r="A46" s="8" t="s">
        <v>177</v>
      </c>
      <c r="B46" t="s">
        <v>178</v>
      </c>
      <c r="C46" s="9" t="s">
        <v>179</v>
      </c>
      <c r="D46" s="9" t="s">
        <v>180</v>
      </c>
      <c r="E46">
        <v>3.86</v>
      </c>
      <c r="F46">
        <v>46.8</v>
      </c>
      <c r="G46">
        <v>7.5</v>
      </c>
      <c r="H46">
        <v>6.2</v>
      </c>
      <c r="I46">
        <v>5.0999999999999996</v>
      </c>
      <c r="J46">
        <v>0.3</v>
      </c>
      <c r="K46">
        <v>5.5</v>
      </c>
    </row>
    <row r="47" spans="1:11" ht="17" x14ac:dyDescent="0.25">
      <c r="A47" s="8" t="s">
        <v>305</v>
      </c>
      <c r="B47" t="s">
        <v>306</v>
      </c>
      <c r="C47" s="9" t="s">
        <v>307</v>
      </c>
      <c r="D47" s="9" t="s">
        <v>308</v>
      </c>
      <c r="E47">
        <v>356.32</v>
      </c>
      <c r="F47">
        <v>2.2999999999999998</v>
      </c>
      <c r="G47">
        <v>7.5</v>
      </c>
      <c r="H47">
        <v>0.8</v>
      </c>
      <c r="I47">
        <v>7.5</v>
      </c>
      <c r="J47">
        <v>-0.5</v>
      </c>
      <c r="K47">
        <v>0.3</v>
      </c>
    </row>
    <row r="48" spans="1:11" ht="17" x14ac:dyDescent="0.25">
      <c r="A48" s="8" t="s">
        <v>415</v>
      </c>
      <c r="C48" s="9" t="s">
        <v>416</v>
      </c>
      <c r="D48" s="9" t="s">
        <v>417</v>
      </c>
      <c r="E48">
        <v>349.29</v>
      </c>
      <c r="F48">
        <v>-11.19</v>
      </c>
      <c r="G48">
        <v>7.5</v>
      </c>
      <c r="H48">
        <v>2.1</v>
      </c>
      <c r="I48">
        <v>7.3</v>
      </c>
      <c r="J48">
        <v>-1.4</v>
      </c>
      <c r="K48">
        <v>-1.5</v>
      </c>
    </row>
    <row r="49" spans="1:11" ht="17" x14ac:dyDescent="0.25">
      <c r="A49" s="8" t="s">
        <v>320</v>
      </c>
      <c r="C49" s="9" t="s">
        <v>321</v>
      </c>
      <c r="D49" s="9" t="s">
        <v>322</v>
      </c>
      <c r="E49">
        <v>325.55</v>
      </c>
      <c r="F49">
        <v>-17.57</v>
      </c>
      <c r="G49">
        <v>7.6</v>
      </c>
      <c r="H49">
        <v>5.0999999999999996</v>
      </c>
      <c r="I49">
        <v>6</v>
      </c>
      <c r="J49">
        <v>-4.0999999999999996</v>
      </c>
      <c r="K49">
        <v>-2.2999999999999998</v>
      </c>
    </row>
    <row r="50" spans="1:11" ht="17" x14ac:dyDescent="0.25">
      <c r="A50" s="8" t="s">
        <v>181</v>
      </c>
      <c r="C50" s="9" t="s">
        <v>182</v>
      </c>
      <c r="D50" s="9" t="s">
        <v>183</v>
      </c>
      <c r="E50">
        <v>326.60000000000002</v>
      </c>
      <c r="F50">
        <v>4.8600000000000003</v>
      </c>
      <c r="G50">
        <v>7.7</v>
      </c>
      <c r="H50">
        <v>4.5999999999999996</v>
      </c>
      <c r="I50">
        <v>6.4</v>
      </c>
      <c r="J50">
        <v>-4.2</v>
      </c>
      <c r="K50">
        <v>0.7</v>
      </c>
    </row>
    <row r="51" spans="1:11" ht="17" x14ac:dyDescent="0.25">
      <c r="A51" s="8" t="s">
        <v>396</v>
      </c>
      <c r="C51" s="9" t="s">
        <v>397</v>
      </c>
      <c r="D51" s="9" t="s">
        <v>398</v>
      </c>
      <c r="E51">
        <v>1.02</v>
      </c>
      <c r="F51">
        <v>-3.93</v>
      </c>
      <c r="G51">
        <v>7.7</v>
      </c>
      <c r="H51">
        <v>0.6</v>
      </c>
      <c r="I51">
        <v>7.7</v>
      </c>
      <c r="J51">
        <v>0.1</v>
      </c>
      <c r="K51">
        <v>-0.5</v>
      </c>
    </row>
    <row r="52" spans="1:11" ht="17" x14ac:dyDescent="0.25">
      <c r="A52" s="8" t="s">
        <v>283</v>
      </c>
      <c r="C52" s="9" t="s">
        <v>284</v>
      </c>
      <c r="D52" s="9" t="s">
        <v>285</v>
      </c>
      <c r="E52">
        <v>0.97</v>
      </c>
      <c r="F52">
        <v>8</v>
      </c>
      <c r="G52">
        <v>7.8</v>
      </c>
      <c r="H52">
        <v>1.1000000000000001</v>
      </c>
      <c r="I52">
        <v>7.7</v>
      </c>
      <c r="J52">
        <v>0.1</v>
      </c>
      <c r="K52">
        <v>1.1000000000000001</v>
      </c>
    </row>
    <row r="53" spans="1:11" ht="17" x14ac:dyDescent="0.25">
      <c r="A53" s="8" t="s">
        <v>377</v>
      </c>
      <c r="C53" s="9" t="s">
        <v>378</v>
      </c>
      <c r="D53" s="9" t="s">
        <v>379</v>
      </c>
      <c r="E53">
        <v>5.13</v>
      </c>
      <c r="F53">
        <v>0.76</v>
      </c>
      <c r="G53">
        <v>7.8</v>
      </c>
      <c r="H53">
        <v>0.7</v>
      </c>
      <c r="I53">
        <v>7.8</v>
      </c>
      <c r="J53">
        <v>0.7</v>
      </c>
      <c r="K53">
        <v>0.1</v>
      </c>
    </row>
    <row r="54" spans="1:11" ht="17" x14ac:dyDescent="0.25">
      <c r="A54" s="8" t="s">
        <v>405</v>
      </c>
      <c r="C54" s="9" t="s">
        <v>406</v>
      </c>
      <c r="D54" s="9" t="s">
        <v>407</v>
      </c>
      <c r="E54">
        <v>20.8</v>
      </c>
      <c r="F54">
        <v>6.78</v>
      </c>
      <c r="G54">
        <v>7.8</v>
      </c>
      <c r="H54">
        <v>3</v>
      </c>
      <c r="I54">
        <v>7.2</v>
      </c>
      <c r="J54">
        <v>2.8</v>
      </c>
      <c r="K54">
        <v>0.9</v>
      </c>
    </row>
    <row r="55" spans="1:11" ht="17" x14ac:dyDescent="0.25">
      <c r="A55" s="8" t="s">
        <v>286</v>
      </c>
      <c r="B55" t="s">
        <v>287</v>
      </c>
      <c r="C55" s="9" t="s">
        <v>288</v>
      </c>
      <c r="D55" s="9" t="s">
        <v>289</v>
      </c>
      <c r="E55">
        <v>5.54</v>
      </c>
      <c r="F55">
        <v>10.71</v>
      </c>
      <c r="G55">
        <v>7.9</v>
      </c>
      <c r="H55">
        <v>1.7</v>
      </c>
      <c r="I55">
        <v>7.7</v>
      </c>
      <c r="J55">
        <v>0.7</v>
      </c>
      <c r="K55">
        <v>1.5</v>
      </c>
    </row>
    <row r="56" spans="1:11" ht="17" x14ac:dyDescent="0.25">
      <c r="A56" s="8" t="s">
        <v>402</v>
      </c>
      <c r="C56" s="9" t="s">
        <v>403</v>
      </c>
      <c r="D56" s="9" t="s">
        <v>404</v>
      </c>
      <c r="E56">
        <v>1.1399999999999999</v>
      </c>
      <c r="F56">
        <v>-4.17</v>
      </c>
      <c r="G56">
        <v>7.9</v>
      </c>
      <c r="H56">
        <v>0.6</v>
      </c>
      <c r="I56">
        <v>7.9</v>
      </c>
      <c r="J56">
        <v>0.2</v>
      </c>
      <c r="K56">
        <v>-0.6</v>
      </c>
    </row>
    <row r="57" spans="1:11" ht="17" x14ac:dyDescent="0.25">
      <c r="A57" s="8" t="s">
        <v>456</v>
      </c>
      <c r="C57" s="9" t="s">
        <v>457</v>
      </c>
      <c r="D57" s="9" t="s">
        <v>458</v>
      </c>
      <c r="E57">
        <v>2.79</v>
      </c>
      <c r="F57">
        <v>-7.91</v>
      </c>
      <c r="G57">
        <v>7.9</v>
      </c>
      <c r="H57">
        <v>1.2</v>
      </c>
      <c r="I57">
        <v>7.8</v>
      </c>
      <c r="J57">
        <v>0.4</v>
      </c>
      <c r="K57">
        <v>-1.1000000000000001</v>
      </c>
    </row>
    <row r="58" spans="1:11" ht="17" x14ac:dyDescent="0.25">
      <c r="A58" s="8" t="s">
        <v>504</v>
      </c>
      <c r="C58" s="9" t="s">
        <v>505</v>
      </c>
      <c r="D58" s="9" t="s">
        <v>506</v>
      </c>
      <c r="E58">
        <v>36.200000000000003</v>
      </c>
      <c r="F58">
        <v>-2.21</v>
      </c>
      <c r="G58">
        <v>7.9</v>
      </c>
      <c r="H58">
        <v>5</v>
      </c>
      <c r="I58">
        <v>6.4</v>
      </c>
      <c r="J58">
        <v>4.7</v>
      </c>
      <c r="K58">
        <v>-0.3</v>
      </c>
    </row>
    <row r="59" spans="1:11" ht="17" x14ac:dyDescent="0.25">
      <c r="A59" s="8" t="s">
        <v>193</v>
      </c>
      <c r="B59" t="s">
        <v>194</v>
      </c>
      <c r="C59" s="9" t="s">
        <v>195</v>
      </c>
      <c r="D59" s="9" t="s">
        <v>196</v>
      </c>
      <c r="E59">
        <v>328.77</v>
      </c>
      <c r="F59">
        <v>-2.8</v>
      </c>
      <c r="G59">
        <v>8</v>
      </c>
      <c r="H59">
        <v>4.3</v>
      </c>
      <c r="I59">
        <v>6.8</v>
      </c>
      <c r="J59">
        <v>-4.0999999999999996</v>
      </c>
      <c r="K59">
        <v>-0.4</v>
      </c>
    </row>
    <row r="60" spans="1:11" ht="17" x14ac:dyDescent="0.25">
      <c r="A60" s="8" t="s">
        <v>104</v>
      </c>
      <c r="C60" s="9" t="s">
        <v>105</v>
      </c>
      <c r="D60" s="9" t="s">
        <v>106</v>
      </c>
      <c r="E60">
        <v>292.27</v>
      </c>
      <c r="F60">
        <v>-19.02</v>
      </c>
      <c r="G60">
        <v>8.1</v>
      </c>
      <c r="H60">
        <v>9.1</v>
      </c>
      <c r="I60">
        <v>2.9</v>
      </c>
      <c r="J60">
        <v>-7.1</v>
      </c>
      <c r="K60">
        <v>-2.6</v>
      </c>
    </row>
    <row r="61" spans="1:11" ht="17" x14ac:dyDescent="0.25">
      <c r="A61" s="8" t="s">
        <v>470</v>
      </c>
      <c r="C61" s="9" t="s">
        <v>471</v>
      </c>
      <c r="D61" s="9" t="s">
        <v>472</v>
      </c>
      <c r="E61">
        <v>9.81</v>
      </c>
      <c r="F61">
        <v>-6.44</v>
      </c>
      <c r="G61">
        <v>8.1</v>
      </c>
      <c r="H61">
        <v>1.7</v>
      </c>
      <c r="I61">
        <v>8</v>
      </c>
      <c r="J61">
        <v>1.4</v>
      </c>
      <c r="K61">
        <v>-0.9</v>
      </c>
    </row>
    <row r="62" spans="1:11" ht="17" x14ac:dyDescent="0.25">
      <c r="A62" s="8" t="s">
        <v>562</v>
      </c>
      <c r="B62" t="s">
        <v>563</v>
      </c>
      <c r="C62" s="9" t="s">
        <v>564</v>
      </c>
      <c r="D62" s="9" t="s">
        <v>565</v>
      </c>
      <c r="E62">
        <v>27.18</v>
      </c>
      <c r="F62">
        <v>-46.84</v>
      </c>
      <c r="G62">
        <v>8.1</v>
      </c>
      <c r="H62">
        <v>7.1</v>
      </c>
      <c r="I62">
        <v>4.9000000000000004</v>
      </c>
      <c r="J62">
        <v>2.5</v>
      </c>
      <c r="K62">
        <v>-5.9</v>
      </c>
    </row>
    <row r="63" spans="1:11" ht="17" x14ac:dyDescent="0.25">
      <c r="A63" s="8" t="s">
        <v>218</v>
      </c>
      <c r="C63" s="9" t="s">
        <v>219</v>
      </c>
      <c r="D63" s="9" t="s">
        <v>220</v>
      </c>
      <c r="E63">
        <v>345.08</v>
      </c>
      <c r="F63">
        <v>9.19</v>
      </c>
      <c r="G63">
        <v>8.1999999999999993</v>
      </c>
      <c r="H63">
        <v>2.5</v>
      </c>
      <c r="I63">
        <v>7.8</v>
      </c>
      <c r="J63">
        <v>-2.1</v>
      </c>
      <c r="K63">
        <v>1.3</v>
      </c>
    </row>
    <row r="64" spans="1:11" ht="17" x14ac:dyDescent="0.25">
      <c r="A64" s="8" t="s">
        <v>316</v>
      </c>
      <c r="B64" t="s">
        <v>317</v>
      </c>
      <c r="C64" s="9" t="s">
        <v>318</v>
      </c>
      <c r="D64" s="9" t="s">
        <v>319</v>
      </c>
      <c r="E64">
        <v>357.44</v>
      </c>
      <c r="F64">
        <v>2.12</v>
      </c>
      <c r="G64">
        <v>8.1999999999999993</v>
      </c>
      <c r="H64">
        <v>0.5</v>
      </c>
      <c r="I64">
        <v>8.1999999999999993</v>
      </c>
      <c r="J64">
        <v>-0.4</v>
      </c>
      <c r="K64">
        <v>0.3</v>
      </c>
    </row>
    <row r="65" spans="1:11" ht="17" x14ac:dyDescent="0.25">
      <c r="A65" s="8" t="s">
        <v>323</v>
      </c>
      <c r="C65" s="9" t="s">
        <v>324</v>
      </c>
      <c r="D65" s="9" t="s">
        <v>325</v>
      </c>
      <c r="E65">
        <v>354.84</v>
      </c>
      <c r="F65">
        <v>-0.16</v>
      </c>
      <c r="G65">
        <v>8.1999999999999993</v>
      </c>
      <c r="H65">
        <v>0.8</v>
      </c>
      <c r="I65">
        <v>8.1999999999999993</v>
      </c>
      <c r="J65">
        <v>-0.7</v>
      </c>
      <c r="K65">
        <v>0</v>
      </c>
    </row>
    <row r="66" spans="1:11" ht="17" x14ac:dyDescent="0.25">
      <c r="A66" s="8" t="s">
        <v>334</v>
      </c>
      <c r="B66" t="s">
        <v>335</v>
      </c>
      <c r="C66" s="9" t="s">
        <v>336</v>
      </c>
      <c r="D66" s="9" t="s">
        <v>337</v>
      </c>
      <c r="E66">
        <v>350.8</v>
      </c>
      <c r="F66">
        <v>-3.42</v>
      </c>
      <c r="G66">
        <v>8.1999999999999993</v>
      </c>
      <c r="H66">
        <v>1.4</v>
      </c>
      <c r="I66">
        <v>8.1</v>
      </c>
      <c r="J66">
        <v>-1.3</v>
      </c>
      <c r="K66">
        <v>-0.5</v>
      </c>
    </row>
    <row r="67" spans="1:11" ht="17" x14ac:dyDescent="0.25">
      <c r="A67" s="8" t="s">
        <v>225</v>
      </c>
      <c r="B67" t="s">
        <v>226</v>
      </c>
      <c r="C67" s="9" t="s">
        <v>227</v>
      </c>
      <c r="D67" s="9" t="s">
        <v>228</v>
      </c>
      <c r="E67">
        <v>351.91</v>
      </c>
      <c r="F67">
        <v>12.1</v>
      </c>
      <c r="G67">
        <v>8.3000000000000007</v>
      </c>
      <c r="H67">
        <v>2.1</v>
      </c>
      <c r="I67">
        <v>8</v>
      </c>
      <c r="J67">
        <v>-1.1000000000000001</v>
      </c>
      <c r="K67">
        <v>1.7</v>
      </c>
    </row>
    <row r="68" spans="1:11" ht="17" x14ac:dyDescent="0.25">
      <c r="A68" s="8" t="s">
        <v>279</v>
      </c>
      <c r="B68" t="s">
        <v>280</v>
      </c>
      <c r="C68" s="9" t="s">
        <v>281</v>
      </c>
      <c r="D68" s="9" t="s">
        <v>282</v>
      </c>
      <c r="E68">
        <v>68.34</v>
      </c>
      <c r="F68">
        <v>34.86</v>
      </c>
      <c r="G68">
        <v>8.3000000000000007</v>
      </c>
      <c r="H68">
        <v>9.6</v>
      </c>
      <c r="I68">
        <v>2.5</v>
      </c>
      <c r="J68">
        <v>6.3</v>
      </c>
      <c r="K68">
        <v>4.7</v>
      </c>
    </row>
    <row r="69" spans="1:11" ht="17" x14ac:dyDescent="0.25">
      <c r="A69" s="8" t="s">
        <v>290</v>
      </c>
      <c r="C69" s="9" t="s">
        <v>291</v>
      </c>
      <c r="D69" s="9" t="s">
        <v>292</v>
      </c>
      <c r="E69">
        <v>4.9000000000000004</v>
      </c>
      <c r="F69">
        <v>9.7200000000000006</v>
      </c>
      <c r="G69">
        <v>8.5</v>
      </c>
      <c r="H69">
        <v>1.7</v>
      </c>
      <c r="I69">
        <v>8.4</v>
      </c>
      <c r="J69">
        <v>0.7</v>
      </c>
      <c r="K69">
        <v>1.4</v>
      </c>
    </row>
    <row r="70" spans="1:11" ht="17" x14ac:dyDescent="0.25">
      <c r="A70" s="8" t="s">
        <v>364</v>
      </c>
      <c r="C70" s="9" t="s">
        <v>365</v>
      </c>
      <c r="D70" s="9" t="s">
        <v>366</v>
      </c>
      <c r="E70">
        <v>7.73</v>
      </c>
      <c r="F70">
        <v>3.8</v>
      </c>
      <c r="G70">
        <v>8.5</v>
      </c>
      <c r="H70">
        <v>1.3</v>
      </c>
      <c r="I70">
        <v>8.4</v>
      </c>
      <c r="J70">
        <v>1.1000000000000001</v>
      </c>
      <c r="K70">
        <v>0.6</v>
      </c>
    </row>
    <row r="71" spans="1:11" ht="17" x14ac:dyDescent="0.25">
      <c r="A71" s="8" t="s">
        <v>60</v>
      </c>
      <c r="C71" s="9" t="s">
        <v>61</v>
      </c>
      <c r="D71" s="9" t="s">
        <v>62</v>
      </c>
      <c r="E71">
        <v>301.52999999999997</v>
      </c>
      <c r="F71">
        <v>-46.25</v>
      </c>
      <c r="G71">
        <v>8.6</v>
      </c>
      <c r="H71">
        <v>9.4</v>
      </c>
      <c r="I71">
        <v>3.1</v>
      </c>
      <c r="J71">
        <v>-5.0999999999999996</v>
      </c>
      <c r="K71">
        <v>-6.2</v>
      </c>
    </row>
    <row r="72" spans="1:11" ht="17" x14ac:dyDescent="0.25">
      <c r="A72" s="8" t="s">
        <v>501</v>
      </c>
      <c r="C72" s="9" t="s">
        <v>502</v>
      </c>
      <c r="D72" s="9" t="s">
        <v>503</v>
      </c>
      <c r="E72">
        <v>7.0000000000000007E-2</v>
      </c>
      <c r="F72">
        <v>-17.3</v>
      </c>
      <c r="G72">
        <v>8.6999999999999993</v>
      </c>
      <c r="H72">
        <v>2.6</v>
      </c>
      <c r="I72">
        <v>8.3000000000000007</v>
      </c>
      <c r="J72">
        <v>0</v>
      </c>
      <c r="K72">
        <v>-2.6</v>
      </c>
    </row>
    <row r="73" spans="1:11" ht="17" x14ac:dyDescent="0.25">
      <c r="A73" s="8" t="s">
        <v>260</v>
      </c>
      <c r="B73" t="s">
        <v>261</v>
      </c>
      <c r="C73" s="9" t="s">
        <v>262</v>
      </c>
      <c r="D73" s="9" t="s">
        <v>263</v>
      </c>
      <c r="E73">
        <v>356.87</v>
      </c>
      <c r="F73">
        <v>9.3800000000000008</v>
      </c>
      <c r="G73">
        <v>8.8000000000000007</v>
      </c>
      <c r="H73">
        <v>1.7</v>
      </c>
      <c r="I73">
        <v>8.6999999999999993</v>
      </c>
      <c r="J73">
        <v>-0.5</v>
      </c>
      <c r="K73">
        <v>1.4</v>
      </c>
    </row>
    <row r="74" spans="1:11" ht="17" x14ac:dyDescent="0.25">
      <c r="A74" s="8" t="s">
        <v>466</v>
      </c>
      <c r="B74" t="s">
        <v>467</v>
      </c>
      <c r="C74" s="9" t="s">
        <v>468</v>
      </c>
      <c r="D74" s="9" t="s">
        <v>469</v>
      </c>
      <c r="E74">
        <v>1.72</v>
      </c>
      <c r="F74">
        <v>-10.27</v>
      </c>
      <c r="G74">
        <v>8.8000000000000007</v>
      </c>
      <c r="H74">
        <v>1.7</v>
      </c>
      <c r="I74">
        <v>8.6</v>
      </c>
      <c r="J74">
        <v>0.3</v>
      </c>
      <c r="K74">
        <v>-1.6</v>
      </c>
    </row>
    <row r="75" spans="1:11" ht="17" x14ac:dyDescent="0.25">
      <c r="A75" s="8" t="s">
        <v>57</v>
      </c>
      <c r="C75" s="9" t="s">
        <v>58</v>
      </c>
      <c r="D75" s="9" t="s">
        <v>59</v>
      </c>
      <c r="E75">
        <v>152.30000000000001</v>
      </c>
      <c r="F75">
        <v>-89.38</v>
      </c>
      <c r="G75">
        <v>8.9</v>
      </c>
      <c r="H75">
        <v>12</v>
      </c>
      <c r="I75">
        <v>-0.1</v>
      </c>
      <c r="J75">
        <v>0</v>
      </c>
      <c r="K75">
        <v>-8.9</v>
      </c>
    </row>
    <row r="76" spans="1:11" ht="17" x14ac:dyDescent="0.25">
      <c r="A76" s="8" t="s">
        <v>212</v>
      </c>
      <c r="C76" s="9" t="s">
        <v>213</v>
      </c>
      <c r="D76" s="9" t="s">
        <v>214</v>
      </c>
      <c r="E76">
        <v>351.93</v>
      </c>
      <c r="F76">
        <v>15.7</v>
      </c>
      <c r="G76">
        <v>8.9</v>
      </c>
      <c r="H76">
        <v>2.7</v>
      </c>
      <c r="I76">
        <v>8.5</v>
      </c>
      <c r="J76">
        <v>-1.2</v>
      </c>
      <c r="K76">
        <v>2.4</v>
      </c>
    </row>
    <row r="77" spans="1:11" ht="17" x14ac:dyDescent="0.25">
      <c r="A77" s="8" t="s">
        <v>483</v>
      </c>
      <c r="B77" t="s">
        <v>484</v>
      </c>
      <c r="C77" s="9" t="s">
        <v>485</v>
      </c>
      <c r="D77" s="9" t="s">
        <v>486</v>
      </c>
      <c r="E77">
        <v>2.85</v>
      </c>
      <c r="F77">
        <v>-12.51</v>
      </c>
      <c r="G77">
        <v>9</v>
      </c>
      <c r="H77">
        <v>2.2000000000000002</v>
      </c>
      <c r="I77">
        <v>8.8000000000000007</v>
      </c>
      <c r="J77">
        <v>0.4</v>
      </c>
      <c r="K77">
        <v>-2</v>
      </c>
    </row>
    <row r="78" spans="1:11" ht="17" x14ac:dyDescent="0.25">
      <c r="A78" s="8" t="s">
        <v>296</v>
      </c>
      <c r="C78" s="9" t="s">
        <v>297</v>
      </c>
      <c r="D78" s="9" t="s">
        <v>298</v>
      </c>
      <c r="E78">
        <v>359.59</v>
      </c>
      <c r="F78">
        <v>5.43</v>
      </c>
      <c r="G78">
        <v>9.1999999999999993</v>
      </c>
      <c r="H78">
        <v>1.4</v>
      </c>
      <c r="I78">
        <v>9.1999999999999993</v>
      </c>
      <c r="J78">
        <v>-0.1</v>
      </c>
      <c r="K78">
        <v>0.9</v>
      </c>
    </row>
    <row r="79" spans="1:11" ht="17" x14ac:dyDescent="0.25">
      <c r="A79" s="8" t="s">
        <v>341</v>
      </c>
      <c r="B79" t="s">
        <v>342</v>
      </c>
      <c r="C79" s="9" t="s">
        <v>343</v>
      </c>
      <c r="D79" s="9" t="s">
        <v>344</v>
      </c>
      <c r="E79">
        <v>21.32</v>
      </c>
      <c r="F79">
        <v>14.81</v>
      </c>
      <c r="G79">
        <v>9.3000000000000007</v>
      </c>
      <c r="H79">
        <v>4</v>
      </c>
      <c r="I79">
        <v>8.3000000000000007</v>
      </c>
      <c r="J79">
        <v>3.3</v>
      </c>
      <c r="K79">
        <v>2.4</v>
      </c>
    </row>
    <row r="80" spans="1:11" ht="17" x14ac:dyDescent="0.25">
      <c r="A80" s="8" t="s">
        <v>267</v>
      </c>
      <c r="C80" s="9" t="s">
        <v>268</v>
      </c>
      <c r="D80" s="9" t="s">
        <v>269</v>
      </c>
      <c r="E80">
        <v>0.13</v>
      </c>
      <c r="F80">
        <v>11.02</v>
      </c>
      <c r="G80">
        <v>9.4</v>
      </c>
      <c r="H80">
        <v>2.1</v>
      </c>
      <c r="I80">
        <v>9.1999999999999993</v>
      </c>
      <c r="J80">
        <v>0</v>
      </c>
      <c r="K80">
        <v>1.8</v>
      </c>
    </row>
    <row r="81" spans="1:11" ht="17" x14ac:dyDescent="0.25">
      <c r="A81" s="8" t="s">
        <v>463</v>
      </c>
      <c r="C81" s="9" t="s">
        <v>464</v>
      </c>
      <c r="D81" s="9" t="s">
        <v>465</v>
      </c>
      <c r="E81">
        <v>7.9</v>
      </c>
      <c r="F81">
        <v>-7.15</v>
      </c>
      <c r="G81">
        <v>9.4</v>
      </c>
      <c r="H81">
        <v>2.2000000000000002</v>
      </c>
      <c r="I81">
        <v>9.3000000000000007</v>
      </c>
      <c r="J81">
        <v>1.3</v>
      </c>
      <c r="K81">
        <v>-1.2</v>
      </c>
    </row>
    <row r="82" spans="1:11" ht="17" x14ac:dyDescent="0.25">
      <c r="A82" s="8" t="s">
        <v>513</v>
      </c>
      <c r="B82" t="s">
        <v>514</v>
      </c>
      <c r="C82" s="9" t="s">
        <v>515</v>
      </c>
      <c r="D82" s="9" t="s">
        <v>516</v>
      </c>
      <c r="E82">
        <v>62.66</v>
      </c>
      <c r="F82">
        <v>8.34</v>
      </c>
      <c r="G82">
        <v>9.4</v>
      </c>
      <c r="H82">
        <v>9.1999999999999993</v>
      </c>
      <c r="I82">
        <v>4.3</v>
      </c>
      <c r="J82">
        <v>8.3000000000000007</v>
      </c>
      <c r="K82">
        <v>1.4</v>
      </c>
    </row>
    <row r="83" spans="1:11" ht="17" x14ac:dyDescent="0.25">
      <c r="A83" s="8" t="s">
        <v>270</v>
      </c>
      <c r="C83" s="9" t="s">
        <v>271</v>
      </c>
      <c r="D83" s="9" t="s">
        <v>272</v>
      </c>
      <c r="E83">
        <v>357.62</v>
      </c>
      <c r="F83">
        <v>7.83</v>
      </c>
      <c r="G83">
        <v>9.5</v>
      </c>
      <c r="H83">
        <v>1.9</v>
      </c>
      <c r="I83">
        <v>9.4</v>
      </c>
      <c r="J83">
        <v>-0.4</v>
      </c>
      <c r="K83">
        <v>1.3</v>
      </c>
    </row>
    <row r="84" spans="1:11" ht="17" x14ac:dyDescent="0.25">
      <c r="A84" s="8" t="s">
        <v>101</v>
      </c>
      <c r="C84" s="9" t="s">
        <v>102</v>
      </c>
      <c r="D84" s="9" t="s">
        <v>103</v>
      </c>
      <c r="E84">
        <v>282.19</v>
      </c>
      <c r="F84">
        <v>-11.25</v>
      </c>
      <c r="G84">
        <v>9.6</v>
      </c>
      <c r="H84">
        <v>11.1</v>
      </c>
      <c r="I84">
        <v>2</v>
      </c>
      <c r="J84">
        <v>-9.1999999999999993</v>
      </c>
      <c r="K84">
        <v>-1.9</v>
      </c>
    </row>
    <row r="85" spans="1:11" ht="17" x14ac:dyDescent="0.25">
      <c r="A85" s="8" t="s">
        <v>240</v>
      </c>
      <c r="C85" s="9" t="s">
        <v>241</v>
      </c>
      <c r="D85" s="9" t="s">
        <v>242</v>
      </c>
      <c r="E85">
        <v>339.19</v>
      </c>
      <c r="F85">
        <v>-1.85</v>
      </c>
      <c r="G85">
        <v>9.8000000000000007</v>
      </c>
      <c r="H85">
        <v>3.7</v>
      </c>
      <c r="I85">
        <v>9.1</v>
      </c>
      <c r="J85">
        <v>-3.5</v>
      </c>
      <c r="K85">
        <v>-0.3</v>
      </c>
    </row>
    <row r="86" spans="1:11" ht="17" x14ac:dyDescent="0.25">
      <c r="A86" s="8" t="s">
        <v>338</v>
      </c>
      <c r="C86" s="9" t="s">
        <v>339</v>
      </c>
      <c r="D86" s="9" t="s">
        <v>340</v>
      </c>
      <c r="E86">
        <v>345.56</v>
      </c>
      <c r="F86">
        <v>-6.74</v>
      </c>
      <c r="G86">
        <v>9.9</v>
      </c>
      <c r="H86">
        <v>3.1</v>
      </c>
      <c r="I86">
        <v>9.6</v>
      </c>
      <c r="J86">
        <v>-2.5</v>
      </c>
      <c r="K86">
        <v>-1.2</v>
      </c>
    </row>
    <row r="87" spans="1:11" ht="17" x14ac:dyDescent="0.25">
      <c r="A87" s="8" t="s">
        <v>201</v>
      </c>
      <c r="B87" t="s">
        <v>202</v>
      </c>
      <c r="C87" s="9" t="s">
        <v>203</v>
      </c>
      <c r="D87" s="9" t="s">
        <v>204</v>
      </c>
      <c r="E87">
        <v>352.67</v>
      </c>
      <c r="F87">
        <v>19.46</v>
      </c>
      <c r="G87">
        <v>10</v>
      </c>
      <c r="H87">
        <v>3.8</v>
      </c>
      <c r="I87">
        <v>9.4</v>
      </c>
      <c r="J87">
        <v>-1.2</v>
      </c>
      <c r="K87">
        <v>3.3</v>
      </c>
    </row>
    <row r="88" spans="1:11" ht="17" x14ac:dyDescent="0.25">
      <c r="A88" s="8" t="s">
        <v>473</v>
      </c>
      <c r="C88" s="9" t="s">
        <v>474</v>
      </c>
      <c r="D88" s="9" t="s">
        <v>475</v>
      </c>
      <c r="E88">
        <v>1.53</v>
      </c>
      <c r="F88">
        <v>-11.38</v>
      </c>
      <c r="G88">
        <v>10</v>
      </c>
      <c r="H88">
        <v>2.7</v>
      </c>
      <c r="I88">
        <v>9.8000000000000007</v>
      </c>
      <c r="J88">
        <v>0.3</v>
      </c>
      <c r="K88">
        <v>-2</v>
      </c>
    </row>
    <row r="89" spans="1:11" ht="17" x14ac:dyDescent="0.25">
      <c r="A89" s="8" t="s">
        <v>215</v>
      </c>
      <c r="C89" s="9" t="s">
        <v>216</v>
      </c>
      <c r="D89" s="9" t="s">
        <v>217</v>
      </c>
      <c r="E89">
        <v>342.37</v>
      </c>
      <c r="F89">
        <v>6.94</v>
      </c>
      <c r="G89">
        <v>10.1</v>
      </c>
      <c r="H89">
        <v>3.6</v>
      </c>
      <c r="I89">
        <v>9.6</v>
      </c>
      <c r="J89">
        <v>-3</v>
      </c>
      <c r="K89">
        <v>1.2</v>
      </c>
    </row>
    <row r="90" spans="1:11" ht="17" x14ac:dyDescent="0.25">
      <c r="A90" s="8" t="s">
        <v>146</v>
      </c>
      <c r="B90" t="s">
        <v>147</v>
      </c>
      <c r="C90" s="9" t="s">
        <v>148</v>
      </c>
      <c r="D90" s="9" t="s">
        <v>149</v>
      </c>
      <c r="E90">
        <v>42.22</v>
      </c>
      <c r="F90">
        <v>78.709999999999994</v>
      </c>
      <c r="G90">
        <v>10.199999999999999</v>
      </c>
      <c r="H90">
        <v>12</v>
      </c>
      <c r="I90">
        <v>1.5</v>
      </c>
      <c r="J90">
        <v>1.3</v>
      </c>
      <c r="K90">
        <v>10</v>
      </c>
    </row>
    <row r="91" spans="1:11" ht="17" x14ac:dyDescent="0.25">
      <c r="A91" s="8" t="s">
        <v>128</v>
      </c>
      <c r="B91" t="s">
        <v>129</v>
      </c>
      <c r="C91" s="9" t="s">
        <v>130</v>
      </c>
      <c r="D91" s="9" t="s">
        <v>131</v>
      </c>
      <c r="E91">
        <v>299.63</v>
      </c>
      <c r="F91">
        <v>36.049999999999997</v>
      </c>
      <c r="G91">
        <v>10.3</v>
      </c>
      <c r="H91">
        <v>10.199999999999999</v>
      </c>
      <c r="I91">
        <v>4.0999999999999996</v>
      </c>
      <c r="J91">
        <v>-7.2</v>
      </c>
      <c r="K91">
        <v>6</v>
      </c>
    </row>
    <row r="92" spans="1:11" ht="17" x14ac:dyDescent="0.25">
      <c r="A92" s="8" t="s">
        <v>250</v>
      </c>
      <c r="C92" s="9" t="s">
        <v>251</v>
      </c>
      <c r="D92" s="9" t="s">
        <v>252</v>
      </c>
      <c r="E92">
        <v>347.79</v>
      </c>
      <c r="F92">
        <v>3.31</v>
      </c>
      <c r="G92">
        <v>10.3</v>
      </c>
      <c r="H92">
        <v>3</v>
      </c>
      <c r="I92">
        <v>10</v>
      </c>
      <c r="J92">
        <v>-2.2000000000000002</v>
      </c>
      <c r="K92">
        <v>0.6</v>
      </c>
    </row>
    <row r="93" spans="1:11" ht="17" x14ac:dyDescent="0.25">
      <c r="A93" s="8" t="s">
        <v>190</v>
      </c>
      <c r="C93" s="9" t="s">
        <v>191</v>
      </c>
      <c r="D93" s="9" t="s">
        <v>192</v>
      </c>
      <c r="E93">
        <v>337.02</v>
      </c>
      <c r="F93">
        <v>13.27</v>
      </c>
      <c r="G93">
        <v>10.4</v>
      </c>
      <c r="H93">
        <v>4.8</v>
      </c>
      <c r="I93">
        <v>9.3000000000000007</v>
      </c>
      <c r="J93">
        <v>-4</v>
      </c>
      <c r="K93">
        <v>2.4</v>
      </c>
    </row>
    <row r="94" spans="1:11" ht="17" x14ac:dyDescent="0.25">
      <c r="A94" s="8" t="s">
        <v>276</v>
      </c>
      <c r="C94" s="9" t="s">
        <v>277</v>
      </c>
      <c r="D94" s="9" t="s">
        <v>278</v>
      </c>
      <c r="E94">
        <v>357.18</v>
      </c>
      <c r="F94">
        <v>5.76</v>
      </c>
      <c r="G94">
        <v>10.4</v>
      </c>
      <c r="H94">
        <v>2.6</v>
      </c>
      <c r="I94">
        <v>10.4</v>
      </c>
      <c r="J94">
        <v>-0.5</v>
      </c>
      <c r="K94">
        <v>1</v>
      </c>
    </row>
    <row r="95" spans="1:11" ht="17" x14ac:dyDescent="0.25">
      <c r="A95" s="8" t="s">
        <v>554</v>
      </c>
      <c r="B95" t="s">
        <v>555</v>
      </c>
      <c r="C95" s="9" t="s">
        <v>556</v>
      </c>
      <c r="D95" s="9" t="s">
        <v>557</v>
      </c>
      <c r="E95">
        <v>65.010000000000005</v>
      </c>
      <c r="F95">
        <v>-27.31</v>
      </c>
      <c r="G95">
        <v>10.4</v>
      </c>
      <c r="H95">
        <v>10.4</v>
      </c>
      <c r="I95">
        <v>3.9</v>
      </c>
      <c r="J95">
        <v>8.3000000000000007</v>
      </c>
      <c r="K95">
        <v>-4.8</v>
      </c>
    </row>
    <row r="96" spans="1:11" ht="17" x14ac:dyDescent="0.25">
      <c r="A96" s="8" t="s">
        <v>184</v>
      </c>
      <c r="C96" s="9" t="s">
        <v>185</v>
      </c>
      <c r="D96" s="9" t="s">
        <v>186</v>
      </c>
      <c r="E96">
        <v>327.58</v>
      </c>
      <c r="F96">
        <v>4.1900000000000004</v>
      </c>
      <c r="G96">
        <v>10.6</v>
      </c>
      <c r="H96">
        <v>5.8</v>
      </c>
      <c r="I96">
        <v>8.9</v>
      </c>
      <c r="J96">
        <v>-5.6</v>
      </c>
      <c r="K96">
        <v>0.8</v>
      </c>
    </row>
    <row r="97" spans="1:11" ht="17" x14ac:dyDescent="0.25">
      <c r="A97" s="8" t="s">
        <v>345</v>
      </c>
      <c r="C97" s="9" t="s">
        <v>346</v>
      </c>
      <c r="D97" s="9" t="s">
        <v>347</v>
      </c>
      <c r="E97">
        <v>3.45</v>
      </c>
      <c r="F97">
        <v>3.98</v>
      </c>
      <c r="G97">
        <v>10.6</v>
      </c>
      <c r="H97">
        <v>2.7</v>
      </c>
      <c r="I97">
        <v>10.5</v>
      </c>
      <c r="J97">
        <v>0.6</v>
      </c>
      <c r="K97">
        <v>0.7</v>
      </c>
    </row>
    <row r="98" spans="1:11" ht="17" x14ac:dyDescent="0.25">
      <c r="A98" s="8" t="s">
        <v>390</v>
      </c>
      <c r="C98" s="9" t="s">
        <v>391</v>
      </c>
      <c r="D98" s="9" t="s">
        <v>392</v>
      </c>
      <c r="E98">
        <v>19.23</v>
      </c>
      <c r="F98">
        <v>6.76</v>
      </c>
      <c r="G98">
        <v>10.6</v>
      </c>
      <c r="H98">
        <v>4.2</v>
      </c>
      <c r="I98">
        <v>10</v>
      </c>
      <c r="J98">
        <v>3.5</v>
      </c>
      <c r="K98">
        <v>1.3</v>
      </c>
    </row>
    <row r="99" spans="1:11" ht="17" x14ac:dyDescent="0.25">
      <c r="A99" s="8" t="s">
        <v>89</v>
      </c>
      <c r="C99" s="9" t="s">
        <v>90</v>
      </c>
      <c r="D99" s="9" t="s">
        <v>91</v>
      </c>
      <c r="E99">
        <v>245.63</v>
      </c>
      <c r="F99">
        <v>-16</v>
      </c>
      <c r="G99">
        <v>10.8</v>
      </c>
      <c r="H99">
        <v>15.8</v>
      </c>
      <c r="I99">
        <v>-4.3</v>
      </c>
      <c r="J99">
        <v>-9.4</v>
      </c>
      <c r="K99">
        <v>-3</v>
      </c>
    </row>
    <row r="100" spans="1:11" ht="17" x14ac:dyDescent="0.25">
      <c r="A100" s="8" t="s">
        <v>326</v>
      </c>
      <c r="B100" t="s">
        <v>327</v>
      </c>
      <c r="C100" s="9" t="s">
        <v>328</v>
      </c>
      <c r="D100" s="9" t="s">
        <v>329</v>
      </c>
      <c r="E100">
        <v>350.18</v>
      </c>
      <c r="F100">
        <v>-3.42</v>
      </c>
      <c r="G100">
        <v>10.9</v>
      </c>
      <c r="H100">
        <v>3.3</v>
      </c>
      <c r="I100">
        <v>10.7</v>
      </c>
      <c r="J100">
        <v>-1.9</v>
      </c>
      <c r="K100">
        <v>-0.6</v>
      </c>
    </row>
    <row r="101" spans="1:11" ht="17" x14ac:dyDescent="0.25">
      <c r="A101" s="8" t="s">
        <v>443</v>
      </c>
      <c r="C101" s="9" t="s">
        <v>444</v>
      </c>
      <c r="D101" s="9" t="s">
        <v>445</v>
      </c>
      <c r="E101">
        <v>0.48</v>
      </c>
      <c r="F101">
        <v>-6.68</v>
      </c>
      <c r="G101">
        <v>10.9</v>
      </c>
      <c r="H101">
        <v>3.1</v>
      </c>
      <c r="I101">
        <v>10.8</v>
      </c>
      <c r="J101">
        <v>0.1</v>
      </c>
      <c r="K101">
        <v>-1.3</v>
      </c>
    </row>
    <row r="102" spans="1:11" ht="17" x14ac:dyDescent="0.25">
      <c r="A102" s="8" t="s">
        <v>69</v>
      </c>
      <c r="C102" s="9" t="s">
        <v>70</v>
      </c>
      <c r="D102" s="9" t="s">
        <v>71</v>
      </c>
      <c r="E102">
        <v>130.06</v>
      </c>
      <c r="F102">
        <v>19.03</v>
      </c>
      <c r="G102">
        <v>11.1</v>
      </c>
      <c r="H102">
        <v>17.2</v>
      </c>
      <c r="I102">
        <v>-6.8</v>
      </c>
      <c r="J102">
        <v>8.1</v>
      </c>
      <c r="K102">
        <v>3.6</v>
      </c>
    </row>
    <row r="103" spans="1:11" ht="17" x14ac:dyDescent="0.25">
      <c r="A103" s="8" t="s">
        <v>380</v>
      </c>
      <c r="C103" s="9" t="s">
        <v>381</v>
      </c>
      <c r="D103" s="9" t="s">
        <v>382</v>
      </c>
      <c r="E103">
        <v>348.03</v>
      </c>
      <c r="F103">
        <v>-10.01</v>
      </c>
      <c r="G103">
        <v>11.3</v>
      </c>
      <c r="H103">
        <v>4.2</v>
      </c>
      <c r="I103">
        <v>10.9</v>
      </c>
      <c r="J103">
        <v>-2.2999999999999998</v>
      </c>
      <c r="K103">
        <v>-2</v>
      </c>
    </row>
    <row r="104" spans="1:11" ht="17" x14ac:dyDescent="0.25">
      <c r="A104" s="8" t="s">
        <v>243</v>
      </c>
      <c r="C104" s="9" t="s">
        <v>244</v>
      </c>
      <c r="D104" s="9" t="s">
        <v>245</v>
      </c>
      <c r="E104">
        <v>358.92</v>
      </c>
      <c r="F104">
        <v>13.52</v>
      </c>
      <c r="G104">
        <v>11.5</v>
      </c>
      <c r="H104">
        <v>4.2</v>
      </c>
      <c r="I104">
        <v>11.2</v>
      </c>
      <c r="J104">
        <v>-0.2</v>
      </c>
      <c r="K104">
        <v>2.7</v>
      </c>
    </row>
    <row r="105" spans="1:11" ht="17" x14ac:dyDescent="0.25">
      <c r="A105" s="8" t="s">
        <v>558</v>
      </c>
      <c r="B105" t="s">
        <v>559</v>
      </c>
      <c r="C105" s="9" t="s">
        <v>560</v>
      </c>
      <c r="D105" s="9" t="s">
        <v>561</v>
      </c>
      <c r="E105">
        <v>53.37</v>
      </c>
      <c r="F105">
        <v>-35.770000000000003</v>
      </c>
      <c r="G105">
        <v>11.5</v>
      </c>
      <c r="H105">
        <v>10.4</v>
      </c>
      <c r="I105">
        <v>5.6</v>
      </c>
      <c r="J105">
        <v>7.5</v>
      </c>
      <c r="K105">
        <v>-6.7</v>
      </c>
    </row>
    <row r="106" spans="1:11" ht="17" x14ac:dyDescent="0.25">
      <c r="A106" s="8" t="s">
        <v>367</v>
      </c>
      <c r="C106" s="9" t="s">
        <v>368</v>
      </c>
      <c r="D106" s="9" t="s">
        <v>369</v>
      </c>
      <c r="E106">
        <v>353.53</v>
      </c>
      <c r="F106">
        <v>-5.01</v>
      </c>
      <c r="G106">
        <v>11.6</v>
      </c>
      <c r="H106">
        <v>3.9</v>
      </c>
      <c r="I106">
        <v>11.5</v>
      </c>
      <c r="J106">
        <v>-1.3</v>
      </c>
      <c r="K106">
        <v>-1</v>
      </c>
    </row>
    <row r="107" spans="1:11" ht="17" x14ac:dyDescent="0.25">
      <c r="A107" s="8" t="s">
        <v>374</v>
      </c>
      <c r="C107" s="9" t="s">
        <v>375</v>
      </c>
      <c r="D107" s="9" t="s">
        <v>376</v>
      </c>
      <c r="E107">
        <v>355.72</v>
      </c>
      <c r="F107">
        <v>-3.87</v>
      </c>
      <c r="G107">
        <v>11.6</v>
      </c>
      <c r="H107">
        <v>3.7</v>
      </c>
      <c r="I107">
        <v>11.5</v>
      </c>
      <c r="J107">
        <v>-0.9</v>
      </c>
      <c r="K107">
        <v>-0.8</v>
      </c>
    </row>
    <row r="108" spans="1:11" ht="17" x14ac:dyDescent="0.25">
      <c r="A108" s="8" t="s">
        <v>150</v>
      </c>
      <c r="C108" s="9" t="s">
        <v>151</v>
      </c>
      <c r="D108" s="9" t="s">
        <v>152</v>
      </c>
      <c r="E108">
        <v>311.61</v>
      </c>
      <c r="F108">
        <v>10.57</v>
      </c>
      <c r="G108">
        <v>11.7</v>
      </c>
      <c r="H108">
        <v>8.9</v>
      </c>
      <c r="I108">
        <v>7.6</v>
      </c>
      <c r="J108">
        <v>-8.6</v>
      </c>
      <c r="K108">
        <v>2.1</v>
      </c>
    </row>
    <row r="109" spans="1:11" ht="17" x14ac:dyDescent="0.25">
      <c r="A109" s="8" t="s">
        <v>82</v>
      </c>
      <c r="C109" s="9" t="s">
        <v>83</v>
      </c>
      <c r="D109" s="9" t="s">
        <v>84</v>
      </c>
      <c r="E109">
        <v>244.51</v>
      </c>
      <c r="F109">
        <v>-35.03</v>
      </c>
      <c r="G109">
        <v>12.1</v>
      </c>
      <c r="H109">
        <v>16.600000000000001</v>
      </c>
      <c r="I109">
        <v>-4.2</v>
      </c>
      <c r="J109">
        <v>-8.9</v>
      </c>
      <c r="K109">
        <v>-6.9</v>
      </c>
    </row>
    <row r="110" spans="1:11" ht="17" x14ac:dyDescent="0.25">
      <c r="A110" s="8" t="s">
        <v>174</v>
      </c>
      <c r="C110" s="9" t="s">
        <v>175</v>
      </c>
      <c r="D110" s="9" t="s">
        <v>176</v>
      </c>
      <c r="E110">
        <v>342.95</v>
      </c>
      <c r="F110">
        <v>30.29</v>
      </c>
      <c r="G110">
        <v>12.5</v>
      </c>
      <c r="H110">
        <v>7.4</v>
      </c>
      <c r="I110">
        <v>10.3</v>
      </c>
      <c r="J110">
        <v>-3.2</v>
      </c>
      <c r="K110">
        <v>6.3</v>
      </c>
    </row>
    <row r="111" spans="1:11" ht="17" x14ac:dyDescent="0.25">
      <c r="A111" s="8" t="s">
        <v>480</v>
      </c>
      <c r="C111" s="9" t="s">
        <v>481</v>
      </c>
      <c r="D111" s="9" t="s">
        <v>482</v>
      </c>
      <c r="E111">
        <v>14.11</v>
      </c>
      <c r="F111">
        <v>-6.79</v>
      </c>
      <c r="G111">
        <v>12.8</v>
      </c>
      <c r="H111">
        <v>5.5</v>
      </c>
      <c r="I111">
        <v>12.3</v>
      </c>
      <c r="J111">
        <v>3.1</v>
      </c>
      <c r="K111">
        <v>-1.5</v>
      </c>
    </row>
    <row r="112" spans="1:11" ht="17" x14ac:dyDescent="0.25">
      <c r="A112" s="8" t="s">
        <v>85</v>
      </c>
      <c r="B112" t="s">
        <v>86</v>
      </c>
      <c r="C112" s="9" t="s">
        <v>87</v>
      </c>
      <c r="D112" s="9" t="s">
        <v>88</v>
      </c>
      <c r="E112">
        <v>227.23</v>
      </c>
      <c r="F112">
        <v>-29.35</v>
      </c>
      <c r="G112">
        <v>12.9</v>
      </c>
      <c r="H112">
        <v>18.8</v>
      </c>
      <c r="I112">
        <v>-7.7</v>
      </c>
      <c r="J112">
        <v>-8.3000000000000007</v>
      </c>
      <c r="K112">
        <v>-6.3</v>
      </c>
    </row>
    <row r="113" spans="1:11" ht="17" x14ac:dyDescent="0.25">
      <c r="A113" s="8" t="s">
        <v>533</v>
      </c>
      <c r="C113" s="9" t="s">
        <v>534</v>
      </c>
      <c r="D113" s="9" t="s">
        <v>535</v>
      </c>
      <c r="E113">
        <v>31.81</v>
      </c>
      <c r="F113">
        <v>-15.57</v>
      </c>
      <c r="G113">
        <v>13.4</v>
      </c>
      <c r="H113">
        <v>8.1999999999999993</v>
      </c>
      <c r="I113">
        <v>11</v>
      </c>
      <c r="J113">
        <v>6.8</v>
      </c>
      <c r="K113">
        <v>-3.6</v>
      </c>
    </row>
    <row r="114" spans="1:11" ht="17" x14ac:dyDescent="0.25">
      <c r="A114" s="8" t="s">
        <v>453</v>
      </c>
      <c r="C114" s="9" t="s">
        <v>454</v>
      </c>
      <c r="D114" s="9" t="s">
        <v>455</v>
      </c>
      <c r="E114">
        <v>342.14</v>
      </c>
      <c r="F114">
        <v>-16.41</v>
      </c>
      <c r="G114">
        <v>13.5</v>
      </c>
      <c r="H114">
        <v>7</v>
      </c>
      <c r="I114">
        <v>12.3</v>
      </c>
      <c r="J114">
        <v>-4</v>
      </c>
      <c r="K114">
        <v>-3.8</v>
      </c>
    </row>
    <row r="115" spans="1:11" ht="17" x14ac:dyDescent="0.25">
      <c r="A115" s="8" t="s">
        <v>357</v>
      </c>
      <c r="C115" s="9" t="s">
        <v>358</v>
      </c>
      <c r="D115" s="9" t="s">
        <v>359</v>
      </c>
      <c r="E115">
        <v>356.69</v>
      </c>
      <c r="F115">
        <v>-2.4700000000000002</v>
      </c>
      <c r="G115">
        <v>13.7</v>
      </c>
      <c r="H115">
        <v>5.7</v>
      </c>
      <c r="I115">
        <v>13.6</v>
      </c>
      <c r="J115">
        <v>-0.8</v>
      </c>
      <c r="K115">
        <v>-0.6</v>
      </c>
    </row>
    <row r="116" spans="1:11" ht="17" x14ac:dyDescent="0.25">
      <c r="A116" s="8" t="s">
        <v>293</v>
      </c>
      <c r="C116" s="9" t="s">
        <v>294</v>
      </c>
      <c r="D116" s="9" t="s">
        <v>295</v>
      </c>
      <c r="E116">
        <v>6.72</v>
      </c>
      <c r="F116">
        <v>10.220000000000001</v>
      </c>
      <c r="G116">
        <v>15.1</v>
      </c>
      <c r="H116">
        <v>7.5</v>
      </c>
      <c r="I116">
        <v>14.7</v>
      </c>
      <c r="J116">
        <v>1.7</v>
      </c>
      <c r="K116">
        <v>2.7</v>
      </c>
    </row>
    <row r="117" spans="1:11" ht="17" x14ac:dyDescent="0.25">
      <c r="A117" s="8" t="s">
        <v>264</v>
      </c>
      <c r="C117" s="9" t="s">
        <v>265</v>
      </c>
      <c r="D117" s="9" t="s">
        <v>266</v>
      </c>
      <c r="E117">
        <v>358.35</v>
      </c>
      <c r="F117">
        <v>9.94</v>
      </c>
      <c r="G117">
        <v>15.3</v>
      </c>
      <c r="H117">
        <v>7.5</v>
      </c>
      <c r="I117">
        <v>15</v>
      </c>
      <c r="J117">
        <v>-0.4</v>
      </c>
      <c r="K117">
        <v>2.6</v>
      </c>
    </row>
    <row r="118" spans="1:11" ht="17" x14ac:dyDescent="0.25">
      <c r="A118" s="8" t="s">
        <v>209</v>
      </c>
      <c r="C118" s="9" t="s">
        <v>210</v>
      </c>
      <c r="D118" s="9" t="s">
        <v>211</v>
      </c>
      <c r="E118">
        <v>317.74</v>
      </c>
      <c r="F118">
        <v>-15.82</v>
      </c>
      <c r="G118">
        <v>15.4</v>
      </c>
      <c r="H118">
        <v>11.2</v>
      </c>
      <c r="I118">
        <v>11</v>
      </c>
      <c r="J118">
        <v>-10</v>
      </c>
      <c r="K118">
        <v>-4.2</v>
      </c>
    </row>
    <row r="119" spans="1:11" ht="17" x14ac:dyDescent="0.25">
      <c r="A119" s="8" t="s">
        <v>544</v>
      </c>
      <c r="C119" s="9" t="s">
        <v>545</v>
      </c>
      <c r="D119" s="9" t="s">
        <v>546</v>
      </c>
      <c r="E119">
        <v>52.1</v>
      </c>
      <c r="F119">
        <v>-18.89</v>
      </c>
      <c r="G119">
        <v>15.6</v>
      </c>
      <c r="H119">
        <v>12.8</v>
      </c>
      <c r="I119">
        <v>9.1</v>
      </c>
      <c r="J119">
        <v>11.7</v>
      </c>
      <c r="K119">
        <v>-5.0999999999999996</v>
      </c>
    </row>
    <row r="120" spans="1:11" ht="17" x14ac:dyDescent="0.25">
      <c r="A120" s="8" t="s">
        <v>156</v>
      </c>
      <c r="C120" s="9" t="s">
        <v>157</v>
      </c>
      <c r="D120" s="9" t="s">
        <v>158</v>
      </c>
      <c r="E120">
        <v>42.15</v>
      </c>
      <c r="F120">
        <v>73.59</v>
      </c>
      <c r="G120">
        <v>16</v>
      </c>
      <c r="H120">
        <v>16.3</v>
      </c>
      <c r="I120">
        <v>3.3</v>
      </c>
      <c r="J120">
        <v>3</v>
      </c>
      <c r="K120">
        <v>15.3</v>
      </c>
    </row>
    <row r="121" spans="1:11" ht="17" x14ac:dyDescent="0.25">
      <c r="A121" s="8" t="s">
        <v>66</v>
      </c>
      <c r="C121" s="9" t="s">
        <v>67</v>
      </c>
      <c r="D121" s="9" t="s">
        <v>68</v>
      </c>
      <c r="E121">
        <v>270.54000000000002</v>
      </c>
      <c r="F121">
        <v>-52.12</v>
      </c>
      <c r="G121">
        <v>16.3</v>
      </c>
      <c r="H121">
        <v>18.100000000000001</v>
      </c>
      <c r="I121">
        <v>0.1</v>
      </c>
      <c r="J121">
        <v>-10</v>
      </c>
      <c r="K121">
        <v>-12.9</v>
      </c>
    </row>
    <row r="122" spans="1:11" ht="17" x14ac:dyDescent="0.25">
      <c r="A122" s="8" t="s">
        <v>547</v>
      </c>
      <c r="B122" t="s">
        <v>548</v>
      </c>
      <c r="C122" s="9" t="s">
        <v>549</v>
      </c>
      <c r="D122" s="9" t="s">
        <v>550</v>
      </c>
      <c r="E122">
        <v>35.159999999999997</v>
      </c>
      <c r="F122">
        <v>-32.68</v>
      </c>
      <c r="G122">
        <v>17</v>
      </c>
      <c r="H122">
        <v>12.9</v>
      </c>
      <c r="I122">
        <v>11.7</v>
      </c>
      <c r="J122">
        <v>8.3000000000000007</v>
      </c>
      <c r="K122">
        <v>-9.1999999999999993</v>
      </c>
    </row>
    <row r="123" spans="1:11" ht="17" x14ac:dyDescent="0.25">
      <c r="A123" s="8" t="s">
        <v>139</v>
      </c>
      <c r="C123" s="9" t="s">
        <v>140</v>
      </c>
      <c r="D123" s="9" t="s">
        <v>141</v>
      </c>
      <c r="E123">
        <v>335.7</v>
      </c>
      <c r="F123">
        <v>78.95</v>
      </c>
      <c r="G123">
        <v>17.399999999999999</v>
      </c>
      <c r="H123">
        <v>17.8</v>
      </c>
      <c r="I123">
        <v>3</v>
      </c>
      <c r="J123">
        <v>-1.4</v>
      </c>
      <c r="K123">
        <v>17.100000000000001</v>
      </c>
    </row>
    <row r="124" spans="1:11" ht="17" x14ac:dyDescent="0.25">
      <c r="A124" s="8" t="s">
        <v>135</v>
      </c>
      <c r="B124" t="s">
        <v>136</v>
      </c>
      <c r="C124" s="9" t="s">
        <v>137</v>
      </c>
      <c r="D124" s="9" t="s">
        <v>138</v>
      </c>
      <c r="E124">
        <v>332.96</v>
      </c>
      <c r="F124">
        <v>79.760000000000005</v>
      </c>
      <c r="G124">
        <v>17.899999999999999</v>
      </c>
      <c r="H124">
        <v>18.399999999999999</v>
      </c>
      <c r="I124">
        <v>2.8</v>
      </c>
      <c r="J124">
        <v>-1.4</v>
      </c>
      <c r="K124">
        <v>17.600000000000001</v>
      </c>
    </row>
    <row r="125" spans="1:11" ht="17" x14ac:dyDescent="0.25">
      <c r="A125" s="8" t="s">
        <v>165</v>
      </c>
      <c r="C125" s="9" t="s">
        <v>166</v>
      </c>
      <c r="D125" s="9" t="s">
        <v>167</v>
      </c>
      <c r="E125">
        <v>307.35000000000002</v>
      </c>
      <c r="F125">
        <v>-20.47</v>
      </c>
      <c r="G125">
        <v>18.8</v>
      </c>
      <c r="H125">
        <v>15.7</v>
      </c>
      <c r="I125">
        <v>10.7</v>
      </c>
      <c r="J125">
        <v>-14</v>
      </c>
      <c r="K125">
        <v>-6.6</v>
      </c>
    </row>
    <row r="126" spans="1:11" ht="17" x14ac:dyDescent="0.25">
      <c r="A126" s="8" t="s">
        <v>187</v>
      </c>
      <c r="C126" s="9" t="s">
        <v>188</v>
      </c>
      <c r="D126" s="9" t="s">
        <v>189</v>
      </c>
      <c r="E126">
        <v>328.41</v>
      </c>
      <c r="F126">
        <v>4.34</v>
      </c>
      <c r="G126">
        <v>18.899999999999999</v>
      </c>
      <c r="H126">
        <v>12.9</v>
      </c>
      <c r="I126">
        <v>16.100000000000001</v>
      </c>
      <c r="J126">
        <v>-9.9</v>
      </c>
      <c r="K126">
        <v>1.4</v>
      </c>
    </row>
    <row r="127" spans="1:11" ht="17" x14ac:dyDescent="0.25">
      <c r="A127" s="8" t="s">
        <v>566</v>
      </c>
      <c r="C127" s="9" t="s">
        <v>567</v>
      </c>
      <c r="D127" s="9" t="s">
        <v>568</v>
      </c>
      <c r="E127">
        <v>30.51</v>
      </c>
      <c r="F127">
        <v>-47.68</v>
      </c>
      <c r="G127">
        <v>19</v>
      </c>
      <c r="H127">
        <v>15.8</v>
      </c>
      <c r="I127">
        <v>11</v>
      </c>
      <c r="J127">
        <v>6.5</v>
      </c>
      <c r="K127">
        <v>-14.1</v>
      </c>
    </row>
    <row r="128" spans="1:11" ht="17" x14ac:dyDescent="0.25">
      <c r="A128" s="8" t="s">
        <v>119</v>
      </c>
      <c r="C128" s="9" t="s">
        <v>120</v>
      </c>
      <c r="D128" s="9" t="s">
        <v>121</v>
      </c>
      <c r="E128">
        <v>252.85</v>
      </c>
      <c r="F128">
        <v>77.19</v>
      </c>
      <c r="G128">
        <v>19.3</v>
      </c>
      <c r="H128">
        <v>21.4</v>
      </c>
      <c r="I128">
        <v>-1.3</v>
      </c>
      <c r="J128">
        <v>-4.0999999999999996</v>
      </c>
      <c r="K128">
        <v>18.8</v>
      </c>
    </row>
    <row r="129" spans="1:11" ht="17" x14ac:dyDescent="0.25">
      <c r="A129" s="8" t="s">
        <v>354</v>
      </c>
      <c r="C129" s="9" t="s">
        <v>355</v>
      </c>
      <c r="D129" s="9" t="s">
        <v>356</v>
      </c>
      <c r="E129">
        <v>28.09</v>
      </c>
      <c r="F129">
        <v>16.23</v>
      </c>
      <c r="G129">
        <v>20.6</v>
      </c>
      <c r="H129">
        <v>14.4</v>
      </c>
      <c r="I129">
        <v>17.399999999999999</v>
      </c>
      <c r="J129">
        <v>9.3000000000000007</v>
      </c>
      <c r="K129">
        <v>5.8</v>
      </c>
    </row>
    <row r="130" spans="1:11" ht="17" x14ac:dyDescent="0.25">
      <c r="A130" s="8" t="s">
        <v>540</v>
      </c>
      <c r="B130" t="s">
        <v>541</v>
      </c>
      <c r="C130" s="9" t="s">
        <v>542</v>
      </c>
      <c r="D130" s="9" t="s">
        <v>543</v>
      </c>
      <c r="E130">
        <v>20.3</v>
      </c>
      <c r="F130">
        <v>-25.75</v>
      </c>
      <c r="G130">
        <v>20.9</v>
      </c>
      <c r="H130">
        <v>14.7</v>
      </c>
      <c r="I130">
        <v>17.600000000000001</v>
      </c>
      <c r="J130">
        <v>6.5</v>
      </c>
      <c r="K130">
        <v>-9.1</v>
      </c>
    </row>
    <row r="131" spans="1:11" ht="17" x14ac:dyDescent="0.25">
      <c r="A131" s="8" t="s">
        <v>125</v>
      </c>
      <c r="C131" s="9" t="s">
        <v>126</v>
      </c>
      <c r="D131" s="9" t="s">
        <v>127</v>
      </c>
      <c r="E131">
        <v>300.88</v>
      </c>
      <c r="F131">
        <v>11.67</v>
      </c>
      <c r="G131">
        <v>21.2</v>
      </c>
      <c r="H131">
        <v>18.5</v>
      </c>
      <c r="I131">
        <v>10.7</v>
      </c>
      <c r="J131">
        <v>-17.8</v>
      </c>
      <c r="K131">
        <v>4.3</v>
      </c>
    </row>
    <row r="132" spans="1:11" ht="17" x14ac:dyDescent="0.25">
      <c r="A132" s="8" t="s">
        <v>422</v>
      </c>
      <c r="B132" t="s">
        <v>423</v>
      </c>
      <c r="C132" s="9" t="s">
        <v>424</v>
      </c>
      <c r="D132" s="9" t="s">
        <v>425</v>
      </c>
      <c r="E132">
        <v>346.9</v>
      </c>
      <c r="F132">
        <v>-12.57</v>
      </c>
      <c r="G132">
        <v>21.4</v>
      </c>
      <c r="H132">
        <v>14</v>
      </c>
      <c r="I132">
        <v>20.399999999999999</v>
      </c>
      <c r="J132">
        <v>-4.7</v>
      </c>
      <c r="K132">
        <v>-4.7</v>
      </c>
    </row>
    <row r="133" spans="1:11" ht="17" x14ac:dyDescent="0.25">
      <c r="A133" s="8" t="s">
        <v>517</v>
      </c>
      <c r="C133" s="9" t="s">
        <v>518</v>
      </c>
      <c r="D133" s="9" t="s">
        <v>519</v>
      </c>
      <c r="E133">
        <v>3.39</v>
      </c>
      <c r="F133">
        <v>-20.07</v>
      </c>
      <c r="G133">
        <v>22.8</v>
      </c>
      <c r="H133">
        <v>15.6</v>
      </c>
      <c r="I133">
        <v>21.4</v>
      </c>
      <c r="J133">
        <v>1.3</v>
      </c>
      <c r="K133">
        <v>-7.8</v>
      </c>
    </row>
    <row r="134" spans="1:11" ht="17" x14ac:dyDescent="0.25">
      <c r="A134" s="8" t="s">
        <v>171</v>
      </c>
      <c r="C134" s="9" t="s">
        <v>172</v>
      </c>
      <c r="D134" s="9" t="s">
        <v>173</v>
      </c>
      <c r="E134">
        <v>0.85</v>
      </c>
      <c r="F134">
        <v>45.86</v>
      </c>
      <c r="G134">
        <v>23.2</v>
      </c>
      <c r="H134">
        <v>18.600000000000001</v>
      </c>
      <c r="I134">
        <v>16.2</v>
      </c>
      <c r="J134">
        <v>0.2</v>
      </c>
      <c r="K134">
        <v>16.7</v>
      </c>
    </row>
    <row r="135" spans="1:11" ht="17" x14ac:dyDescent="0.25">
      <c r="A135" s="8" t="s">
        <v>302</v>
      </c>
      <c r="C135" s="9" t="s">
        <v>303</v>
      </c>
      <c r="D135" s="9" t="s">
        <v>304</v>
      </c>
      <c r="E135">
        <v>16.54</v>
      </c>
      <c r="F135">
        <v>15.15</v>
      </c>
      <c r="G135">
        <v>25</v>
      </c>
      <c r="H135">
        <v>17.899999999999999</v>
      </c>
      <c r="I135">
        <v>23.2</v>
      </c>
      <c r="J135">
        <v>6.9</v>
      </c>
      <c r="K135">
        <v>6.5</v>
      </c>
    </row>
    <row r="136" spans="1:11" ht="17" x14ac:dyDescent="0.25">
      <c r="A136" s="8" t="s">
        <v>159</v>
      </c>
      <c r="C136" s="9" t="s">
        <v>160</v>
      </c>
      <c r="D136" s="9" t="s">
        <v>161</v>
      </c>
      <c r="E136">
        <v>342.21</v>
      </c>
      <c r="F136">
        <v>49.26</v>
      </c>
      <c r="G136">
        <v>25.2</v>
      </c>
      <c r="H136">
        <v>21.2</v>
      </c>
      <c r="I136">
        <v>15.7</v>
      </c>
      <c r="J136">
        <v>-5</v>
      </c>
      <c r="K136">
        <v>19.100000000000001</v>
      </c>
    </row>
    <row r="137" spans="1:11" ht="17" x14ac:dyDescent="0.25">
      <c r="A137" s="8" t="s">
        <v>569</v>
      </c>
      <c r="C137" s="9" t="s">
        <v>570</v>
      </c>
      <c r="D137" s="9" t="s">
        <v>571</v>
      </c>
      <c r="E137">
        <v>87.1</v>
      </c>
      <c r="F137">
        <v>-42.7</v>
      </c>
      <c r="G137">
        <v>26</v>
      </c>
      <c r="H137">
        <v>26.9</v>
      </c>
      <c r="I137">
        <v>1</v>
      </c>
      <c r="J137">
        <v>19.100000000000001</v>
      </c>
      <c r="K137">
        <v>-17.600000000000001</v>
      </c>
    </row>
    <row r="138" spans="1:11" ht="17" x14ac:dyDescent="0.25">
      <c r="A138" s="8" t="s">
        <v>530</v>
      </c>
      <c r="C138" s="9" t="s">
        <v>531</v>
      </c>
      <c r="D138" s="9" t="s">
        <v>532</v>
      </c>
      <c r="E138">
        <v>5.76</v>
      </c>
      <c r="F138">
        <v>-24.56</v>
      </c>
      <c r="G138">
        <v>26.3</v>
      </c>
      <c r="H138">
        <v>19.399999999999999</v>
      </c>
      <c r="I138">
        <v>23.8</v>
      </c>
      <c r="J138">
        <v>2.4</v>
      </c>
      <c r="K138">
        <v>-10.9</v>
      </c>
    </row>
    <row r="139" spans="1:11" ht="17" x14ac:dyDescent="0.25">
      <c r="A139" s="8" t="s">
        <v>572</v>
      </c>
      <c r="C139" s="9" t="s">
        <v>573</v>
      </c>
      <c r="D139" s="9" t="s">
        <v>574</v>
      </c>
      <c r="E139">
        <v>53.39</v>
      </c>
      <c r="F139">
        <v>-63.48</v>
      </c>
      <c r="G139">
        <v>26.3</v>
      </c>
      <c r="H139">
        <v>25.3</v>
      </c>
      <c r="I139">
        <v>7</v>
      </c>
      <c r="J139">
        <v>9.4</v>
      </c>
      <c r="K139">
        <v>-23.5</v>
      </c>
    </row>
    <row r="140" spans="1:11" ht="17" x14ac:dyDescent="0.25">
      <c r="A140" s="8" t="s">
        <v>493</v>
      </c>
      <c r="B140" t="s">
        <v>494</v>
      </c>
      <c r="C140" s="9" t="s">
        <v>495</v>
      </c>
      <c r="D140" s="9" t="s">
        <v>496</v>
      </c>
      <c r="E140">
        <v>5.61</v>
      </c>
      <c r="F140">
        <v>-14.09</v>
      </c>
      <c r="G140">
        <v>26.5</v>
      </c>
      <c r="H140">
        <v>18.899999999999999</v>
      </c>
      <c r="I140">
        <v>25.6</v>
      </c>
      <c r="J140">
        <v>2.5</v>
      </c>
      <c r="K140">
        <v>-6.5</v>
      </c>
    </row>
    <row r="141" spans="1:11" ht="17" x14ac:dyDescent="0.25">
      <c r="A141" s="8" t="s">
        <v>79</v>
      </c>
      <c r="C141" s="9" t="s">
        <v>80</v>
      </c>
      <c r="D141" s="9" t="s">
        <v>81</v>
      </c>
      <c r="E141">
        <v>170.53</v>
      </c>
      <c r="F141">
        <v>-9.07</v>
      </c>
      <c r="G141">
        <v>27.2</v>
      </c>
      <c r="H141">
        <v>35</v>
      </c>
      <c r="I141">
        <v>-26.4</v>
      </c>
      <c r="J141">
        <v>4.4000000000000004</v>
      </c>
      <c r="K141">
        <v>-4.3</v>
      </c>
    </row>
    <row r="142" spans="1:11" ht="17" x14ac:dyDescent="0.25">
      <c r="A142" s="8" t="s">
        <v>523</v>
      </c>
      <c r="C142" s="9" t="s">
        <v>524</v>
      </c>
      <c r="D142" s="9" t="s">
        <v>525</v>
      </c>
      <c r="E142">
        <v>8.5500000000000007</v>
      </c>
      <c r="F142">
        <v>-20.79</v>
      </c>
      <c r="G142">
        <v>28.6</v>
      </c>
      <c r="H142">
        <v>21.4</v>
      </c>
      <c r="I142">
        <v>26.4</v>
      </c>
      <c r="J142">
        <v>4</v>
      </c>
      <c r="K142">
        <v>-10.199999999999999</v>
      </c>
    </row>
    <row r="143" spans="1:11" ht="17" x14ac:dyDescent="0.25">
      <c r="A143" s="8" t="s">
        <v>63</v>
      </c>
      <c r="C143" s="9" t="s">
        <v>64</v>
      </c>
      <c r="D143" s="9" t="s">
        <v>65</v>
      </c>
      <c r="E143">
        <v>161.22</v>
      </c>
      <c r="F143">
        <v>-60.76</v>
      </c>
      <c r="G143">
        <v>30.1</v>
      </c>
      <c r="H143">
        <v>34.5</v>
      </c>
      <c r="I143">
        <v>-13.9</v>
      </c>
      <c r="J143">
        <v>4.7</v>
      </c>
      <c r="K143">
        <v>-26.3</v>
      </c>
    </row>
    <row r="144" spans="1:11" ht="17" x14ac:dyDescent="0.25">
      <c r="A144" s="8" t="s">
        <v>233</v>
      </c>
      <c r="C144" s="9" t="s">
        <v>234</v>
      </c>
      <c r="D144" s="9" t="s">
        <v>235</v>
      </c>
      <c r="E144">
        <v>73.64</v>
      </c>
      <c r="F144">
        <v>40.31</v>
      </c>
      <c r="G144">
        <v>30.5</v>
      </c>
      <c r="H144">
        <v>29.8</v>
      </c>
      <c r="I144">
        <v>6.5</v>
      </c>
      <c r="J144">
        <v>22.3</v>
      </c>
      <c r="K144">
        <v>19.7</v>
      </c>
    </row>
    <row r="145" spans="1:11" ht="17" x14ac:dyDescent="0.25">
      <c r="A145" s="8" t="s">
        <v>168</v>
      </c>
      <c r="C145" s="9" t="s">
        <v>169</v>
      </c>
      <c r="D145" s="9" t="s">
        <v>170</v>
      </c>
      <c r="E145">
        <v>332.56</v>
      </c>
      <c r="F145">
        <v>22.07</v>
      </c>
      <c r="G145">
        <v>32.1</v>
      </c>
      <c r="H145">
        <v>25.9</v>
      </c>
      <c r="I145">
        <v>26.4</v>
      </c>
      <c r="J145">
        <v>-13.7</v>
      </c>
      <c r="K145">
        <v>12.1</v>
      </c>
    </row>
    <row r="146" spans="1:11" ht="17" x14ac:dyDescent="0.25">
      <c r="A146" s="8" t="s">
        <v>153</v>
      </c>
      <c r="C146" s="9" t="s">
        <v>154</v>
      </c>
      <c r="D146" s="9" t="s">
        <v>155</v>
      </c>
      <c r="E146">
        <v>320.27999999999997</v>
      </c>
      <c r="F146">
        <v>33.51</v>
      </c>
      <c r="G146">
        <v>32.200000000000003</v>
      </c>
      <c r="H146">
        <v>27.8</v>
      </c>
      <c r="I146">
        <v>20.7</v>
      </c>
      <c r="J146">
        <v>-17.2</v>
      </c>
      <c r="K146">
        <v>17.8</v>
      </c>
    </row>
    <row r="147" spans="1:11" ht="17" x14ac:dyDescent="0.25">
      <c r="A147" s="8" t="s">
        <v>95</v>
      </c>
      <c r="C147" s="9" t="s">
        <v>96</v>
      </c>
      <c r="D147" s="9" t="s">
        <v>97</v>
      </c>
      <c r="E147">
        <v>195.12</v>
      </c>
      <c r="F147">
        <v>25.54</v>
      </c>
      <c r="G147">
        <v>34.700000000000003</v>
      </c>
      <c r="H147">
        <v>41.9</v>
      </c>
      <c r="I147">
        <v>-30.2</v>
      </c>
      <c r="J147">
        <v>-8.1999999999999993</v>
      </c>
      <c r="K147">
        <v>15</v>
      </c>
    </row>
    <row r="148" spans="1:11" ht="17" x14ac:dyDescent="0.25">
      <c r="A148" s="8" t="s">
        <v>162</v>
      </c>
      <c r="C148" s="9" t="s">
        <v>163</v>
      </c>
      <c r="D148" s="9" t="s">
        <v>164</v>
      </c>
      <c r="E148">
        <v>331.06</v>
      </c>
      <c r="F148">
        <v>30.36</v>
      </c>
      <c r="G148">
        <v>35</v>
      </c>
      <c r="H148">
        <v>29.4</v>
      </c>
      <c r="I148">
        <v>26.4</v>
      </c>
      <c r="J148">
        <v>-14.6</v>
      </c>
      <c r="K148">
        <v>17.7</v>
      </c>
    </row>
    <row r="149" spans="1:11" ht="17" x14ac:dyDescent="0.25">
      <c r="A149" s="8" t="s">
        <v>98</v>
      </c>
      <c r="C149" s="9" t="s">
        <v>99</v>
      </c>
      <c r="D149" s="9" t="s">
        <v>100</v>
      </c>
      <c r="E149">
        <v>261.32</v>
      </c>
      <c r="F149">
        <v>7</v>
      </c>
      <c r="G149">
        <v>39.4</v>
      </c>
      <c r="H149">
        <v>41.4</v>
      </c>
      <c r="I149">
        <v>-5.9</v>
      </c>
      <c r="J149">
        <v>-38.700000000000003</v>
      </c>
      <c r="K149">
        <v>4.8</v>
      </c>
    </row>
    <row r="150" spans="1:11" ht="17" x14ac:dyDescent="0.25">
      <c r="A150" s="8" t="s">
        <v>551</v>
      </c>
      <c r="C150" s="9" t="s">
        <v>552</v>
      </c>
      <c r="D150" s="9" t="s">
        <v>553</v>
      </c>
      <c r="E150">
        <v>63.77</v>
      </c>
      <c r="F150">
        <v>-19.41</v>
      </c>
      <c r="G150">
        <v>41.2</v>
      </c>
      <c r="H150">
        <v>38.5</v>
      </c>
      <c r="I150">
        <v>17.2</v>
      </c>
      <c r="J150">
        <v>34.799999999999997</v>
      </c>
      <c r="K150">
        <v>-13.7</v>
      </c>
    </row>
    <row r="151" spans="1:11" ht="17" x14ac:dyDescent="0.25">
      <c r="A151" s="8" t="s">
        <v>253</v>
      </c>
      <c r="C151" s="9" t="s">
        <v>254</v>
      </c>
      <c r="D151" s="9" t="s">
        <v>255</v>
      </c>
      <c r="E151">
        <v>18.88</v>
      </c>
      <c r="F151">
        <v>24.3</v>
      </c>
      <c r="G151">
        <v>45.1</v>
      </c>
      <c r="H151">
        <v>38.4</v>
      </c>
      <c r="I151">
        <v>38.9</v>
      </c>
      <c r="J151">
        <v>13.3</v>
      </c>
      <c r="K151">
        <v>18.600000000000001</v>
      </c>
    </row>
    <row r="152" spans="1:11" ht="17" x14ac:dyDescent="0.25">
      <c r="A152" s="8" t="s">
        <v>116</v>
      </c>
      <c r="C152" s="9" t="s">
        <v>117</v>
      </c>
      <c r="D152" s="9" t="s">
        <v>118</v>
      </c>
      <c r="E152">
        <v>260.99</v>
      </c>
      <c r="F152">
        <v>70.75</v>
      </c>
      <c r="G152">
        <v>48.3</v>
      </c>
      <c r="H152">
        <v>49.3</v>
      </c>
      <c r="I152">
        <v>-2.5</v>
      </c>
      <c r="J152">
        <v>-15.7</v>
      </c>
      <c r="K152">
        <v>45.6</v>
      </c>
    </row>
    <row r="153" spans="1:11" ht="17" x14ac:dyDescent="0.25">
      <c r="A153" s="8" t="s">
        <v>197</v>
      </c>
      <c r="B153" t="s">
        <v>198</v>
      </c>
      <c r="C153" s="9" t="s">
        <v>199</v>
      </c>
      <c r="D153" s="9" t="s">
        <v>200</v>
      </c>
      <c r="E153">
        <v>28.74</v>
      </c>
      <c r="F153">
        <v>42.19</v>
      </c>
      <c r="G153">
        <v>76.5</v>
      </c>
      <c r="H153">
        <v>71.599999999999994</v>
      </c>
      <c r="I153">
        <v>49.7</v>
      </c>
      <c r="J153">
        <v>27.3</v>
      </c>
      <c r="K153">
        <v>51.4</v>
      </c>
    </row>
    <row r="154" spans="1:11" ht="17" x14ac:dyDescent="0.25">
      <c r="A154" s="8" t="s">
        <v>92</v>
      </c>
      <c r="C154" s="9" t="s">
        <v>93</v>
      </c>
      <c r="D154" s="9" t="s">
        <v>94</v>
      </c>
      <c r="E154">
        <v>180.37</v>
      </c>
      <c r="F154">
        <v>25.24</v>
      </c>
      <c r="G154">
        <v>82.6</v>
      </c>
      <c r="H154">
        <v>89.9</v>
      </c>
      <c r="I154">
        <v>-74.7</v>
      </c>
      <c r="J154">
        <v>-0.5</v>
      </c>
      <c r="K154">
        <v>35.200000000000003</v>
      </c>
    </row>
    <row r="155" spans="1:11" ht="17" x14ac:dyDescent="0.25">
      <c r="A155" s="8" t="s">
        <v>76</v>
      </c>
      <c r="C155" s="9" t="s">
        <v>77</v>
      </c>
      <c r="D155" s="9" t="s">
        <v>78</v>
      </c>
      <c r="E155">
        <v>218.1</v>
      </c>
      <c r="F155">
        <v>-41.33</v>
      </c>
      <c r="G155">
        <v>90.1</v>
      </c>
      <c r="H155">
        <v>95</v>
      </c>
      <c r="I155">
        <v>-53.2</v>
      </c>
      <c r="J155">
        <v>-41.7</v>
      </c>
      <c r="K155">
        <v>-59.5</v>
      </c>
    </row>
    <row r="156" spans="1:11" ht="17" x14ac:dyDescent="0.25">
      <c r="A156" s="8" t="s">
        <v>107</v>
      </c>
      <c r="C156" s="9" t="s">
        <v>108</v>
      </c>
      <c r="D156" s="9" t="s">
        <v>109</v>
      </c>
      <c r="E156">
        <v>240.15</v>
      </c>
      <c r="F156">
        <v>41.86</v>
      </c>
      <c r="G156">
        <v>92.5</v>
      </c>
      <c r="H156">
        <v>95.7</v>
      </c>
      <c r="I156">
        <v>-34.299999999999997</v>
      </c>
      <c r="J156">
        <v>-59.7</v>
      </c>
      <c r="K156">
        <v>61.7</v>
      </c>
    </row>
    <row r="157" spans="1:11" ht="17" x14ac:dyDescent="0.25">
      <c r="A157" s="8" t="s">
        <v>113</v>
      </c>
      <c r="C157" s="9" t="s">
        <v>114</v>
      </c>
      <c r="D157" s="9" t="s">
        <v>115</v>
      </c>
      <c r="E157">
        <v>202.31</v>
      </c>
      <c r="F157">
        <v>71.8</v>
      </c>
      <c r="G157">
        <v>108.7</v>
      </c>
      <c r="H157">
        <v>111.2</v>
      </c>
      <c r="I157">
        <v>-31.4</v>
      </c>
      <c r="J157">
        <v>-12.9</v>
      </c>
      <c r="K157">
        <v>103.2</v>
      </c>
    </row>
    <row r="158" spans="1:11" ht="17" x14ac:dyDescent="0.25">
      <c r="A158" s="8" t="s">
        <v>72</v>
      </c>
      <c r="B158" t="s">
        <v>73</v>
      </c>
      <c r="C158" s="9" t="s">
        <v>74</v>
      </c>
      <c r="D158" s="9" t="s">
        <v>75</v>
      </c>
      <c r="E158">
        <v>258.33999999999997</v>
      </c>
      <c r="F158">
        <v>-48.47</v>
      </c>
      <c r="G158">
        <v>123.3</v>
      </c>
      <c r="H158">
        <v>124.6</v>
      </c>
      <c r="I158">
        <v>-16.5</v>
      </c>
      <c r="J158">
        <v>-80.099999999999994</v>
      </c>
      <c r="K158">
        <v>-92.3</v>
      </c>
    </row>
  </sheetData>
  <sortState xmlns:xlrd2="http://schemas.microsoft.com/office/spreadsheetml/2017/richdata2" ref="A2:K158">
    <sortCondition ref="G2:G1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Sheet3</vt:lpstr>
      <vt:lpstr>MW_GCs</vt:lpstr>
      <vt:lpstr>a_0</vt:lpstr>
      <vt:lpstr>b_1</vt:lpstr>
      <vt:lpstr>c_2</vt:lpstr>
      <vt:lpstr>d_3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Pomeroy</dc:creator>
  <cp:lastModifiedBy>Richard Pomeroy</cp:lastModifiedBy>
  <dcterms:created xsi:type="dcterms:W3CDTF">2025-07-01T18:34:33Z</dcterms:created>
  <dcterms:modified xsi:type="dcterms:W3CDTF">2025-07-08T16:22:55Z</dcterms:modified>
</cp:coreProperties>
</file>